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mes\Documents\CreditMetrics\"/>
    </mc:Choice>
  </mc:AlternateContent>
  <xr:revisionPtr revIDLastSave="0" documentId="13_ncr:1_{CEE1DECE-1579-4200-9105-A0DEB8AC948D}" xr6:coauthVersionLast="47" xr6:coauthVersionMax="47" xr10:uidLastSave="{00000000-0000-0000-0000-000000000000}"/>
  <bookViews>
    <workbookView xWindow="-120" yWindow="-120" windowWidth="29040" windowHeight="16440" activeTab="2" xr2:uid="{F53AC358-6105-49AD-A9C7-AA3881A0625B}"/>
  </bookViews>
  <sheets>
    <sheet name="Portfolio" sheetId="1" r:id="rId1"/>
    <sheet name="Correlation" sheetId="2" r:id="rId2"/>
    <sheet name="Run Program" sheetId="6" r:id="rId3"/>
    <sheet name="Transition Matrix" sheetId="3" r:id="rId4"/>
    <sheet name="Forward Zero Curve" sheetId="4" r:id="rId5"/>
    <sheet name="Seniority" sheetId="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8" i="2" l="1"/>
  <c r="N18" i="2"/>
  <c r="N17" i="2"/>
  <c r="M18" i="2"/>
  <c r="M17" i="2"/>
  <c r="M16" i="2"/>
  <c r="L18" i="2"/>
  <c r="L17" i="2"/>
  <c r="L16" i="2"/>
  <c r="L15" i="2"/>
  <c r="K18" i="2"/>
  <c r="K17" i="2"/>
  <c r="K16" i="2"/>
  <c r="K15" i="2"/>
  <c r="K14" i="2"/>
  <c r="J18" i="2"/>
  <c r="J17" i="2"/>
  <c r="J16" i="2"/>
  <c r="J15" i="2"/>
  <c r="J14" i="2"/>
  <c r="J13" i="2"/>
  <c r="I18" i="2"/>
  <c r="I17" i="2"/>
  <c r="I16" i="2"/>
  <c r="I15" i="2"/>
  <c r="I14" i="2"/>
  <c r="I13" i="2"/>
  <c r="I12" i="2"/>
  <c r="H18" i="2"/>
  <c r="H17" i="2"/>
  <c r="H16" i="2"/>
  <c r="H15" i="2"/>
  <c r="H14" i="2"/>
  <c r="H13" i="2"/>
  <c r="H12" i="2"/>
  <c r="H11" i="2"/>
  <c r="G18" i="2"/>
  <c r="G17" i="2"/>
  <c r="G16" i="2"/>
  <c r="G15" i="2"/>
  <c r="G14" i="2"/>
  <c r="G13" i="2"/>
  <c r="G12" i="2"/>
  <c r="G11" i="2"/>
  <c r="G10" i="2"/>
  <c r="F18" i="2"/>
  <c r="F17" i="2"/>
  <c r="F16" i="2"/>
  <c r="F15" i="2"/>
  <c r="F14" i="2"/>
  <c r="F13" i="2"/>
  <c r="F12" i="2"/>
  <c r="F11" i="2"/>
  <c r="F10" i="2"/>
  <c r="F9" i="2"/>
  <c r="E18" i="2"/>
  <c r="E17" i="2"/>
  <c r="E16" i="2"/>
  <c r="E15" i="2"/>
  <c r="E14" i="2"/>
  <c r="E13" i="2"/>
  <c r="E12" i="2"/>
  <c r="E11" i="2"/>
  <c r="E10" i="2"/>
  <c r="E9" i="2"/>
  <c r="E8" i="2"/>
  <c r="D18" i="2"/>
  <c r="D17" i="2"/>
  <c r="D16" i="2"/>
  <c r="D15" i="2"/>
  <c r="D14" i="2"/>
  <c r="D13" i="2"/>
  <c r="D12" i="2"/>
  <c r="D11" i="2"/>
  <c r="D10" i="2"/>
  <c r="D9" i="2"/>
  <c r="D8" i="2"/>
  <c r="D7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</calcChain>
</file>

<file path=xl/sharedStrings.xml><?xml version="1.0" encoding="utf-8"?>
<sst xmlns="http://schemas.openxmlformats.org/spreadsheetml/2006/main" count="105" uniqueCount="46">
  <si>
    <t>Face Value</t>
  </si>
  <si>
    <t>Seniority Type</t>
  </si>
  <si>
    <t>Maturity (Year)</t>
  </si>
  <si>
    <t>Portfolio</t>
  </si>
  <si>
    <t>Counpon Rate (%)</t>
  </si>
  <si>
    <t>Initial Rating</t>
  </si>
  <si>
    <t>Random Generator</t>
  </si>
  <si>
    <t>Bonds:</t>
  </si>
  <si>
    <t>AAA</t>
  </si>
  <si>
    <t>BB</t>
  </si>
  <si>
    <t>BBB</t>
  </si>
  <si>
    <t>B</t>
  </si>
  <si>
    <t>CCC</t>
  </si>
  <si>
    <t>AA</t>
  </si>
  <si>
    <t>A</t>
  </si>
  <si>
    <t>Junior Subordinated</t>
  </si>
  <si>
    <t>Subordinated</t>
  </si>
  <si>
    <t>Senior Unsecured</t>
  </si>
  <si>
    <t>Senior Subordinated</t>
  </si>
  <si>
    <t>Senior Secured</t>
  </si>
  <si>
    <t>Bond1</t>
  </si>
  <si>
    <t>Bond2</t>
  </si>
  <si>
    <t>Bond3</t>
  </si>
  <si>
    <t>Bond4</t>
  </si>
  <si>
    <t>Bond5</t>
  </si>
  <si>
    <t>Bond6</t>
  </si>
  <si>
    <t>Bond7</t>
  </si>
  <si>
    <t>Bond8</t>
  </si>
  <si>
    <t>Bond9</t>
  </si>
  <si>
    <t>Correlation Matrix</t>
  </si>
  <si>
    <t>One-year transition matrix</t>
  </si>
  <si>
    <t>One-year forward zero curves</t>
  </si>
  <si>
    <t>Year</t>
  </si>
  <si>
    <t>Default</t>
  </si>
  <si>
    <t>Recovery Rates By Seniority Class</t>
  </si>
  <si>
    <t>Seniority Class</t>
  </si>
  <si>
    <t>Mean</t>
  </si>
  <si>
    <t>SD</t>
  </si>
  <si>
    <t>Bond10</t>
  </si>
  <si>
    <t>Bond11</t>
  </si>
  <si>
    <t>Bond12</t>
  </si>
  <si>
    <t>Bond13</t>
  </si>
  <si>
    <t>Bond14</t>
  </si>
  <si>
    <t>Bond15</t>
  </si>
  <si>
    <t>Number of Simulations:</t>
  </si>
  <si>
    <t>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</si>
</sst>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Arial"/>
      <family val="2"/>
      <charset val="136"/>
    </font>
    <font>
      <b/>
      <sz val="18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>
      <alignment vertical="center"/>
    </xf>
  </cellStyleXfs>
  <cellXfs count="3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/>
    <xf numFmtId="0" fontId="0" fillId="0" borderId="9" xfId="0" applyBorder="1"/>
    <xf numFmtId="0" fontId="1" fillId="0" borderId="0" xfId="0" applyFont="1"/>
    <xf numFmtId="0" fontId="1" fillId="0" borderId="1" xfId="0" applyFont="1" applyBorder="1"/>
    <xf numFmtId="0" fontId="0" fillId="3" borderId="1" xfId="0" applyFill="1" applyBorder="1" applyAlignment="1">
      <alignment horizontal="left"/>
    </xf>
    <xf numFmtId="0" fontId="0" fillId="4" borderId="0" xfId="0" applyFill="1"/>
    <xf numFmtId="0" fontId="0" fillId="5" borderId="0" xfId="0" applyFill="1"/>
    <xf numFmtId="0" fontId="5" fillId="0" borderId="0" xfId="0" applyFont="1"/>
    <xf numFmtId="3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9" fontId="0" fillId="0" borderId="0" xfId="0" applyNumberFormat="1" applyAlignment="1">
      <alignment horizontal="right"/>
    </xf>
    <xf numFmtId="0" fontId="6" fillId="0" borderId="0" xfId="1" applyFont="1">
      <alignment vertical="center"/>
    </xf>
    <xf numFmtId="0" fontId="8" fillId="0" borderId="0" xfId="1" applyFont="1">
      <alignment vertical="center"/>
    </xf>
    <xf numFmtId="10" fontId="6" fillId="0" borderId="0" xfId="1" applyNumberFormat="1" applyFont="1">
      <alignment vertical="center"/>
    </xf>
    <xf numFmtId="0" fontId="2" fillId="0" borderId="0" xfId="1" applyFont="1">
      <alignment vertical="center"/>
    </xf>
    <xf numFmtId="0" fontId="5" fillId="0" borderId="0" xfId="1" applyFont="1">
      <alignment vertical="center"/>
    </xf>
    <xf numFmtId="10" fontId="9" fillId="0" borderId="0" xfId="1" applyNumberFormat="1" applyAlignment="1">
      <alignment horizontal="right" vertical="center"/>
    </xf>
    <xf numFmtId="0" fontId="2" fillId="0" borderId="0" xfId="1" applyFont="1" applyAlignment="1">
      <alignment horizontal="right" vertical="center"/>
    </xf>
    <xf numFmtId="0" fontId="2" fillId="0" borderId="0" xfId="1" applyFont="1" applyAlignment="1">
      <alignment horizontal="right" vertical="top"/>
    </xf>
    <xf numFmtId="9" fontId="1" fillId="2" borderId="1" xfId="0" applyNumberFormat="1" applyFon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10" fillId="0" borderId="0" xfId="0" applyFont="1"/>
    <xf numFmtId="3" fontId="0" fillId="0" borderId="0" xfId="0" applyNumberFormat="1"/>
    <xf numFmtId="0" fontId="0" fillId="3" borderId="1" xfId="0" applyFill="1" applyBorder="1"/>
  </cellXfs>
  <cellStyles count="2">
    <cellStyle name="Normal" xfId="0" builtinId="0"/>
    <cellStyle name="Normal 2" xfId="1" xr:uid="{43654FE4-9880-4DA0-87CD-5BB5C3FD9D8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2" fmlaLink="$M$7" max="100" min="1" page="10" val="1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5</xdr:row>
          <xdr:rowOff>95250</xdr:rowOff>
        </xdr:from>
        <xdr:to>
          <xdr:col>10</xdr:col>
          <xdr:colOff>485775</xdr:colOff>
          <xdr:row>7</xdr:row>
          <xdr:rowOff>85725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8</xdr:row>
          <xdr:rowOff>66675</xdr:rowOff>
        </xdr:from>
        <xdr:to>
          <xdr:col>12</xdr:col>
          <xdr:colOff>304800</xdr:colOff>
          <xdr:row>9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0</xdr:row>
          <xdr:rowOff>123825</xdr:rowOff>
        </xdr:from>
        <xdr:to>
          <xdr:col>4</xdr:col>
          <xdr:colOff>590550</xdr:colOff>
          <xdr:row>1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91108</xdr:colOff>
      <xdr:row>0</xdr:row>
      <xdr:rowOff>74544</xdr:rowOff>
    </xdr:from>
    <xdr:to>
      <xdr:col>16</xdr:col>
      <xdr:colOff>104775</xdr:colOff>
      <xdr:row>1</xdr:row>
      <xdr:rowOff>49696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463083" y="74544"/>
          <a:ext cx="5500067" cy="27042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tx1"/>
              </a:solidFill>
            </a:rPr>
            <a:t>Note 1: Only</a:t>
          </a:r>
          <a:r>
            <a:rPr lang="en-GB" sz="1100" baseline="0">
              <a:solidFill>
                <a:schemeClr val="tx1"/>
              </a:solidFill>
            </a:rPr>
            <a:t> edit grids with no color. Note 2: Only press random after you initiated board.</a:t>
          </a:r>
          <a:endParaRPr lang="en-GB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104775</xdr:rowOff>
        </xdr:from>
        <xdr:to>
          <xdr:col>6</xdr:col>
          <xdr:colOff>314325</xdr:colOff>
          <xdr:row>1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592746</xdr:colOff>
          <xdr:row>9</xdr:row>
          <xdr:rowOff>178048</xdr:rowOff>
        </xdr:from>
        <xdr:to>
          <xdr:col>12</xdr:col>
          <xdr:colOff>29309</xdr:colOff>
          <xdr:row>15</xdr:row>
          <xdr:rowOff>139214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D3905-5E89-4B36-9ADB-E1A32F346D04}">
  <sheetPr codeName="Sheet1">
    <tabColor theme="4" tint="-0.249977111117893"/>
  </sheetPr>
  <dimension ref="A1:M17"/>
  <sheetViews>
    <sheetView zoomScale="115" zoomScaleNormal="115" workbookViewId="0">
      <selection activeCell="A3" sqref="A3"/>
    </sheetView>
  </sheetViews>
  <sheetFormatPr defaultRowHeight="15"/>
  <cols>
    <col min="1" max="1" width="15" style="16" customWidth="1"/>
    <col min="2" max="2" width="10.5703125" style="17" customWidth="1"/>
    <col min="3" max="3" width="19.42578125" style="17" bestFit="1" customWidth="1"/>
    <col min="4" max="4" width="10.7109375" style="18" customWidth="1"/>
    <col min="5" max="5" width="9.140625" style="17"/>
  </cols>
  <sheetData>
    <row r="1" spans="1:13" ht="21.75" customHeight="1">
      <c r="A1" s="29" t="s">
        <v>3</v>
      </c>
      <c r="B1" s="29"/>
      <c r="C1" s="30"/>
      <c r="D1" s="30"/>
      <c r="E1" s="30"/>
    </row>
    <row r="2" spans="1:13" ht="44.25" customHeight="1">
      <c r="A2" s="28" t="s">
        <v>0</v>
      </c>
      <c r="B2" s="1" t="s">
        <v>5</v>
      </c>
      <c r="C2" s="1" t="s">
        <v>1</v>
      </c>
      <c r="D2" s="27" t="s">
        <v>4</v>
      </c>
      <c r="E2" s="1" t="s">
        <v>2</v>
      </c>
    </row>
    <row r="3" spans="1:13">
      <c r="A3" s="16">
        <v>1500000</v>
      </c>
      <c r="B3" s="17" t="s">
        <v>10</v>
      </c>
      <c r="C3" s="17" t="s">
        <v>19</v>
      </c>
      <c r="D3" s="18">
        <v>0.10000000149011612</v>
      </c>
      <c r="E3" s="17">
        <v>6</v>
      </c>
    </row>
    <row r="4" spans="1:13">
      <c r="A4" s="16">
        <v>1800000</v>
      </c>
      <c r="B4" s="17" t="s">
        <v>10</v>
      </c>
      <c r="C4" s="17" t="s">
        <v>15</v>
      </c>
      <c r="D4" s="18">
        <v>3.9999999105930328E-2</v>
      </c>
      <c r="E4" s="17">
        <v>4</v>
      </c>
    </row>
    <row r="5" spans="1:13" ht="15.75">
      <c r="A5" s="16">
        <v>2300000</v>
      </c>
      <c r="B5" s="17" t="s">
        <v>12</v>
      </c>
      <c r="C5" s="17" t="s">
        <v>19</v>
      </c>
      <c r="D5" s="18">
        <v>0.10000000149011612</v>
      </c>
      <c r="E5" s="17">
        <v>1</v>
      </c>
      <c r="K5" s="31" t="s">
        <v>6</v>
      </c>
      <c r="L5" s="32"/>
      <c r="M5" s="33"/>
    </row>
    <row r="6" spans="1:13">
      <c r="A6" s="16">
        <v>400000</v>
      </c>
      <c r="B6" s="17" t="s">
        <v>10</v>
      </c>
      <c r="C6" s="17" t="s">
        <v>18</v>
      </c>
      <c r="D6" s="18">
        <v>9.9999997764825821E-3</v>
      </c>
      <c r="E6" s="17">
        <v>5</v>
      </c>
      <c r="K6" s="5"/>
      <c r="M6" s="6"/>
    </row>
    <row r="7" spans="1:13">
      <c r="A7" s="16">
        <v>6400000</v>
      </c>
      <c r="B7" s="17" t="s">
        <v>11</v>
      </c>
      <c r="C7" s="17" t="s">
        <v>15</v>
      </c>
      <c r="D7" s="18">
        <v>9.9999997764825821E-3</v>
      </c>
      <c r="E7" s="17">
        <v>1</v>
      </c>
      <c r="K7" s="5"/>
      <c r="L7" s="11" t="s">
        <v>7</v>
      </c>
      <c r="M7" s="12">
        <v>15</v>
      </c>
    </row>
    <row r="8" spans="1:13">
      <c r="A8" s="16">
        <v>5400000</v>
      </c>
      <c r="B8" s="17" t="s">
        <v>8</v>
      </c>
      <c r="C8" s="17" t="s">
        <v>18</v>
      </c>
      <c r="D8" s="18">
        <v>0.10999999940395355</v>
      </c>
      <c r="E8" s="17">
        <v>7</v>
      </c>
      <c r="K8" s="5"/>
      <c r="M8" s="6"/>
    </row>
    <row r="9" spans="1:13">
      <c r="A9" s="16">
        <v>6700000</v>
      </c>
      <c r="B9" s="17" t="s">
        <v>10</v>
      </c>
      <c r="C9" s="17" t="s">
        <v>15</v>
      </c>
      <c r="D9" s="18">
        <v>9.9999997764825821E-3</v>
      </c>
      <c r="E9" s="17">
        <v>5</v>
      </c>
      <c r="K9" s="2"/>
      <c r="L9" s="3"/>
      <c r="M9" s="4"/>
    </row>
    <row r="10" spans="1:13">
      <c r="A10" s="16">
        <v>500000</v>
      </c>
      <c r="B10" s="17" t="s">
        <v>8</v>
      </c>
      <c r="C10" s="17" t="s">
        <v>15</v>
      </c>
      <c r="D10" s="18">
        <v>0.11999999731779099</v>
      </c>
      <c r="E10" s="17">
        <v>7</v>
      </c>
      <c r="K10" s="7"/>
      <c r="L10" s="8"/>
      <c r="M10" s="9"/>
    </row>
    <row r="11" spans="1:13">
      <c r="A11" s="16">
        <v>9300000</v>
      </c>
      <c r="B11" s="17" t="s">
        <v>14</v>
      </c>
      <c r="C11" s="17" t="s">
        <v>17</v>
      </c>
      <c r="D11" s="18">
        <v>0.10999999940395355</v>
      </c>
      <c r="E11" s="17">
        <v>5</v>
      </c>
    </row>
    <row r="12" spans="1:13">
      <c r="A12" s="16">
        <v>6500000</v>
      </c>
      <c r="B12" s="17" t="s">
        <v>8</v>
      </c>
      <c r="C12" s="17" t="s">
        <v>17</v>
      </c>
      <c r="D12" s="18">
        <v>9.9999997764825821E-3</v>
      </c>
      <c r="E12" s="17">
        <v>7</v>
      </c>
    </row>
    <row r="13" spans="1:13">
      <c r="A13" s="16">
        <v>7200000</v>
      </c>
      <c r="B13" s="17" t="s">
        <v>14</v>
      </c>
      <c r="C13" s="17" t="s">
        <v>19</v>
      </c>
      <c r="D13" s="18">
        <v>2.9999999329447746E-2</v>
      </c>
      <c r="E13" s="17">
        <v>2</v>
      </c>
    </row>
    <row r="14" spans="1:13">
      <c r="A14" s="16">
        <v>2400000</v>
      </c>
      <c r="B14" s="17" t="s">
        <v>12</v>
      </c>
      <c r="C14" s="17" t="s">
        <v>16</v>
      </c>
      <c r="D14" s="18">
        <v>3.9999999105930328E-2</v>
      </c>
      <c r="E14" s="17">
        <v>1</v>
      </c>
    </row>
    <row r="15" spans="1:13">
      <c r="A15" s="16">
        <v>2300000</v>
      </c>
      <c r="B15" s="17" t="s">
        <v>10</v>
      </c>
      <c r="C15" s="17" t="s">
        <v>15</v>
      </c>
      <c r="D15" s="18">
        <v>3.9999999105930328E-2</v>
      </c>
      <c r="E15" s="17">
        <v>3</v>
      </c>
    </row>
    <row r="16" spans="1:13">
      <c r="A16" s="16">
        <v>5000000</v>
      </c>
      <c r="B16" s="17" t="s">
        <v>10</v>
      </c>
      <c r="C16" s="17" t="s">
        <v>19</v>
      </c>
      <c r="D16" s="18">
        <v>0.11999999731779099</v>
      </c>
      <c r="E16" s="17">
        <v>7</v>
      </c>
    </row>
    <row r="17" spans="1:5">
      <c r="A17" s="16">
        <v>800000</v>
      </c>
      <c r="B17" s="17" t="s">
        <v>11</v>
      </c>
      <c r="C17" s="17" t="s">
        <v>16</v>
      </c>
      <c r="D17" s="18">
        <v>2.9999999329447746E-2</v>
      </c>
      <c r="E17" s="17">
        <v>1</v>
      </c>
    </row>
  </sheetData>
  <mergeCells count="2">
    <mergeCell ref="A1:E1"/>
    <mergeCell ref="K5:M5"/>
  </mergeCells>
  <dataValidations count="3">
    <dataValidation type="list" allowBlank="1" showInputMessage="1" showErrorMessage="1" sqref="B3:B43" xr:uid="{68A1DA0C-3928-4C5D-854E-03A37A64118C}">
      <formula1>"AAA,AA,A,BBB,BB,B,CCC"</formula1>
    </dataValidation>
    <dataValidation type="list" allowBlank="1" showInputMessage="1" showErrorMessage="1" sqref="C3:C43" xr:uid="{A73499C6-5C6B-41DD-8A4A-F42058FA85D9}">
      <formula1>"Senior Secured, Senior Unsecured, Senior Subordinated, Subordinated, Junior Subordinated"</formula1>
    </dataValidation>
    <dataValidation type="whole" allowBlank="1" showInputMessage="1" showErrorMessage="1" sqref="M7" xr:uid="{47032BDC-D40D-449D-8E39-647880CB3305}">
      <formula1>1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Spinner 3">
              <controlPr defaultSize="0" autoPict="0">
                <anchor moveWithCells="1" sizeWithCells="1">
                  <from>
                    <xdr:col>10</xdr:col>
                    <xdr:colOff>247650</xdr:colOff>
                    <xdr:row>5</xdr:row>
                    <xdr:rowOff>95250</xdr:rowOff>
                  </from>
                  <to>
                    <xdr:col>10</xdr:col>
                    <xdr:colOff>485775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_xll.RANDOM">
                <anchor moveWithCells="1" sizeWithCells="1">
                  <from>
                    <xdr:col>10</xdr:col>
                    <xdr:colOff>285750</xdr:colOff>
                    <xdr:row>8</xdr:row>
                    <xdr:rowOff>66675</xdr:rowOff>
                  </from>
                  <to>
                    <xdr:col>12</xdr:col>
                    <xdr:colOff>304800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E885E-86F1-4C34-87AB-267088B27377}">
  <sheetPr codeName="Sheet2">
    <tabColor theme="9" tint="-0.249977111117893"/>
  </sheetPr>
  <dimension ref="A1:P18"/>
  <sheetViews>
    <sheetView zoomScaleNormal="100" workbookViewId="0">
      <selection activeCell="P25" sqref="P25"/>
    </sheetView>
  </sheetViews>
  <sheetFormatPr defaultRowHeight="15"/>
  <cols>
    <col min="1" max="1" width="10.7109375" style="10" customWidth="1"/>
  </cols>
  <sheetData>
    <row r="1" spans="1:16" ht="23.25" customHeight="1">
      <c r="A1" s="15" t="s">
        <v>29</v>
      </c>
    </row>
    <row r="3" spans="1:16" s="10" customFormat="1">
      <c r="B3" s="10" t="s">
        <v>20</v>
      </c>
      <c r="C3" s="10" t="s">
        <v>21</v>
      </c>
      <c r="D3" s="10" t="s">
        <v>22</v>
      </c>
      <c r="E3" s="10" t="s">
        <v>23</v>
      </c>
      <c r="F3" s="10" t="s">
        <v>24</v>
      </c>
      <c r="G3" s="10" t="s">
        <v>25</v>
      </c>
      <c r="H3" s="10" t="s">
        <v>26</v>
      </c>
      <c r="I3" s="10" t="s">
        <v>27</v>
      </c>
      <c r="J3" s="10" t="s">
        <v>28</v>
      </c>
      <c r="K3" s="10" t="s">
        <v>38</v>
      </c>
      <c r="L3" s="10" t="s">
        <v>39</v>
      </c>
      <c r="M3" s="10" t="s">
        <v>40</v>
      </c>
      <c r="N3" s="10" t="s">
        <v>41</v>
      </c>
      <c r="O3" s="10" t="s">
        <v>42</v>
      </c>
      <c r="P3" s="10" t="s">
        <v>43</v>
      </c>
    </row>
    <row r="4" spans="1:16">
      <c r="A4" s="10" t="s">
        <v>20</v>
      </c>
      <c r="B4" s="13">
        <v>1</v>
      </c>
      <c r="C4">
        <v>0.186</v>
      </c>
      <c r="D4">
        <v>-0.26600000000000001</v>
      </c>
      <c r="E4">
        <v>-0.48599999999999999</v>
      </c>
      <c r="F4">
        <v>0.32</v>
      </c>
      <c r="G4">
        <v>0.34300000000000003</v>
      </c>
      <c r="H4">
        <v>-3.1E-2</v>
      </c>
      <c r="I4">
        <v>-0.42799999999999999</v>
      </c>
      <c r="J4">
        <v>0.26300000000000001</v>
      </c>
      <c r="K4">
        <v>-0.01</v>
      </c>
      <c r="L4">
        <v>-0.29799999999999999</v>
      </c>
      <c r="M4">
        <v>-0.34100000000000003</v>
      </c>
      <c r="N4">
        <v>0.38</v>
      </c>
      <c r="O4">
        <v>-0.20899999999999999</v>
      </c>
      <c r="P4">
        <v>-0.34399999999999997</v>
      </c>
    </row>
    <row r="5" spans="1:16">
      <c r="A5" s="10" t="s">
        <v>21</v>
      </c>
      <c r="B5" s="14">
        <f>C4</f>
        <v>0.186</v>
      </c>
      <c r="C5" s="13">
        <v>1</v>
      </c>
      <c r="D5">
        <v>0.53200000000000003</v>
      </c>
      <c r="E5">
        <v>-0.57199999999999995</v>
      </c>
      <c r="F5">
        <v>0.57999999999999996</v>
      </c>
      <c r="G5">
        <v>0.34699999999999998</v>
      </c>
      <c r="H5">
        <v>0.373</v>
      </c>
      <c r="I5">
        <v>0.26600000000000001</v>
      </c>
      <c r="J5">
        <v>0.193</v>
      </c>
      <c r="K5">
        <v>0.314</v>
      </c>
      <c r="L5">
        <v>4.5999999999999999E-2</v>
      </c>
      <c r="M5">
        <v>-7.0999999999999994E-2</v>
      </c>
      <c r="N5">
        <v>0.42799999999999999</v>
      </c>
      <c r="O5">
        <v>0.114</v>
      </c>
      <c r="P5">
        <v>4.3999999999999997E-2</v>
      </c>
    </row>
    <row r="6" spans="1:16">
      <c r="A6" s="10" t="s">
        <v>22</v>
      </c>
      <c r="B6" s="14">
        <f>D4</f>
        <v>-0.26600000000000001</v>
      </c>
      <c r="C6" s="14">
        <f>D5</f>
        <v>0.53200000000000003</v>
      </c>
      <c r="D6" s="13">
        <v>1</v>
      </c>
      <c r="E6">
        <v>0.10199999999999999</v>
      </c>
      <c r="F6">
        <v>-3.5999999999999997E-2</v>
      </c>
      <c r="G6">
        <v>0.33700000000000002</v>
      </c>
      <c r="H6">
        <v>0.38900000000000001</v>
      </c>
      <c r="I6">
        <v>0.40699999999999997</v>
      </c>
      <c r="J6">
        <v>0.17</v>
      </c>
      <c r="K6">
        <v>0.34100000000000003</v>
      </c>
      <c r="L6">
        <v>0.19800000000000001</v>
      </c>
      <c r="M6">
        <v>0.19600000000000001</v>
      </c>
      <c r="N6">
        <v>0.379</v>
      </c>
      <c r="O6">
        <v>0.51900000000000002</v>
      </c>
      <c r="P6">
        <v>0.152</v>
      </c>
    </row>
    <row r="7" spans="1:16">
      <c r="A7" s="10" t="s">
        <v>23</v>
      </c>
      <c r="B7" s="14">
        <f>E4</f>
        <v>-0.48599999999999999</v>
      </c>
      <c r="C7" s="14">
        <f>E5</f>
        <v>-0.57199999999999995</v>
      </c>
      <c r="D7" s="14">
        <f>E6</f>
        <v>0.10199999999999999</v>
      </c>
      <c r="E7" s="13">
        <v>1</v>
      </c>
      <c r="F7">
        <v>-0.26800000000000002</v>
      </c>
      <c r="G7">
        <v>-0.16400000000000001</v>
      </c>
      <c r="H7">
        <v>0.19900000000000001</v>
      </c>
      <c r="I7">
        <v>-3.9E-2</v>
      </c>
      <c r="J7">
        <v>-0.152</v>
      </c>
      <c r="K7">
        <v>-0.22</v>
      </c>
      <c r="L7">
        <v>0.29799999999999999</v>
      </c>
      <c r="M7">
        <v>0.115</v>
      </c>
      <c r="N7">
        <v>-1.7999999999999999E-2</v>
      </c>
      <c r="O7">
        <v>0.28399999999999997</v>
      </c>
      <c r="P7">
        <v>-5.0000000000000001E-3</v>
      </c>
    </row>
    <row r="8" spans="1:16">
      <c r="A8" s="10" t="s">
        <v>24</v>
      </c>
      <c r="B8" s="14">
        <f>F4</f>
        <v>0.32</v>
      </c>
      <c r="C8" s="14">
        <f>F5</f>
        <v>0.57999999999999996</v>
      </c>
      <c r="D8" s="14">
        <f>F6</f>
        <v>-3.5999999999999997E-2</v>
      </c>
      <c r="E8" s="14">
        <f>F7</f>
        <v>-0.26800000000000002</v>
      </c>
      <c r="F8" s="13">
        <v>1</v>
      </c>
      <c r="G8">
        <v>4.0000000000000001E-3</v>
      </c>
      <c r="H8">
        <v>0.14000000000000001</v>
      </c>
      <c r="I8">
        <v>-0.189</v>
      </c>
      <c r="J8">
        <v>0.20499999999999999</v>
      </c>
      <c r="K8">
        <v>0.23899999999999999</v>
      </c>
      <c r="L8">
        <v>7.0000000000000007E-2</v>
      </c>
      <c r="M8">
        <v>-0.47499999999999998</v>
      </c>
      <c r="N8">
        <v>0.14599999999999999</v>
      </c>
      <c r="O8">
        <v>2.5999999999999999E-2</v>
      </c>
      <c r="P8">
        <v>-0.33900000000000002</v>
      </c>
    </row>
    <row r="9" spans="1:16">
      <c r="A9" s="10" t="s">
        <v>25</v>
      </c>
      <c r="B9" s="14">
        <f>G4</f>
        <v>0.34300000000000003</v>
      </c>
      <c r="C9" s="14">
        <f>G5</f>
        <v>0.34699999999999998</v>
      </c>
      <c r="D9" s="14">
        <f>G6</f>
        <v>0.33700000000000002</v>
      </c>
      <c r="E9" s="14">
        <f>G7</f>
        <v>-0.16400000000000001</v>
      </c>
      <c r="F9" s="14">
        <f>G8</f>
        <v>4.0000000000000001E-3</v>
      </c>
      <c r="G9" s="13">
        <v>1</v>
      </c>
      <c r="H9">
        <v>0.65100000000000002</v>
      </c>
      <c r="I9">
        <v>0.191</v>
      </c>
      <c r="J9">
        <v>0.46100000000000002</v>
      </c>
      <c r="K9">
        <v>0.109</v>
      </c>
      <c r="L9">
        <v>-0.35099999999999998</v>
      </c>
      <c r="M9">
        <v>-0.13800000000000001</v>
      </c>
      <c r="N9">
        <v>0.58699999999999997</v>
      </c>
      <c r="O9">
        <v>4.4999999999999998E-2</v>
      </c>
      <c r="P9">
        <v>0.23400000000000001</v>
      </c>
    </row>
    <row r="10" spans="1:16">
      <c r="A10" s="10" t="s">
        <v>26</v>
      </c>
      <c r="B10" s="14">
        <f>H4</f>
        <v>-3.1E-2</v>
      </c>
      <c r="C10" s="14">
        <f>H5</f>
        <v>0.373</v>
      </c>
      <c r="D10" s="14">
        <f>H6</f>
        <v>0.38900000000000001</v>
      </c>
      <c r="E10" s="14">
        <f>H7</f>
        <v>0.19900000000000001</v>
      </c>
      <c r="F10" s="14">
        <f>H8</f>
        <v>0.14000000000000001</v>
      </c>
      <c r="G10" s="14">
        <f>H9</f>
        <v>0.65100000000000002</v>
      </c>
      <c r="H10" s="13">
        <v>1</v>
      </c>
      <c r="I10">
        <v>1.9E-2</v>
      </c>
      <c r="J10">
        <v>0.371</v>
      </c>
      <c r="K10">
        <v>-0.21099999999999999</v>
      </c>
      <c r="L10">
        <v>0.17100000000000001</v>
      </c>
      <c r="M10">
        <v>-0.13100000000000001</v>
      </c>
      <c r="N10">
        <v>0.55000000000000004</v>
      </c>
      <c r="O10">
        <v>0.29399999999999998</v>
      </c>
      <c r="P10">
        <v>0.34300000000000003</v>
      </c>
    </row>
    <row r="11" spans="1:16">
      <c r="A11" s="10" t="s">
        <v>27</v>
      </c>
      <c r="B11" s="14">
        <f>I4</f>
        <v>-0.42799999999999999</v>
      </c>
      <c r="C11" s="14">
        <f>I5</f>
        <v>0.26600000000000001</v>
      </c>
      <c r="D11" s="14">
        <f>I6</f>
        <v>0.40699999999999997</v>
      </c>
      <c r="E11" s="14">
        <f>I7</f>
        <v>-3.9E-2</v>
      </c>
      <c r="F11" s="14">
        <f>I8</f>
        <v>-0.189</v>
      </c>
      <c r="G11" s="14">
        <f>I9</f>
        <v>0.191</v>
      </c>
      <c r="H11" s="14">
        <f>I10</f>
        <v>1.9E-2</v>
      </c>
      <c r="I11" s="13">
        <v>1</v>
      </c>
      <c r="J11">
        <v>8.2000000000000003E-2</v>
      </c>
      <c r="K11">
        <v>0.51100000000000001</v>
      </c>
      <c r="L11">
        <v>1.4E-2</v>
      </c>
      <c r="M11">
        <v>0.25</v>
      </c>
      <c r="N11">
        <v>7.0999999999999994E-2</v>
      </c>
      <c r="O11">
        <v>6.5000000000000002E-2</v>
      </c>
      <c r="P11">
        <v>0.376</v>
      </c>
    </row>
    <row r="12" spans="1:16">
      <c r="A12" s="10" t="s">
        <v>28</v>
      </c>
      <c r="B12" s="14">
        <f>J4</f>
        <v>0.26300000000000001</v>
      </c>
      <c r="C12" s="14">
        <f>J5</f>
        <v>0.193</v>
      </c>
      <c r="D12" s="14">
        <f>J6</f>
        <v>0.17</v>
      </c>
      <c r="E12" s="14">
        <f>J7</f>
        <v>-0.152</v>
      </c>
      <c r="F12" s="14">
        <f>J8</f>
        <v>0.20499999999999999</v>
      </c>
      <c r="G12" s="14">
        <f>J9</f>
        <v>0.46100000000000002</v>
      </c>
      <c r="H12" s="14">
        <f>J10</f>
        <v>0.371</v>
      </c>
      <c r="I12" s="14">
        <f>J11</f>
        <v>8.2000000000000003E-2</v>
      </c>
      <c r="J12" s="13">
        <v>1</v>
      </c>
      <c r="K12">
        <v>1.7000000000000001E-2</v>
      </c>
      <c r="L12">
        <v>0.191</v>
      </c>
      <c r="M12">
        <v>-0.61799999999999999</v>
      </c>
      <c r="N12">
        <v>3.4000000000000002E-2</v>
      </c>
      <c r="O12">
        <v>0.17299999999999999</v>
      </c>
      <c r="P12">
        <v>0.20899999999999999</v>
      </c>
    </row>
    <row r="13" spans="1:16">
      <c r="A13" s="10" t="s">
        <v>38</v>
      </c>
      <c r="B13" s="14">
        <f>K4</f>
        <v>-0.01</v>
      </c>
      <c r="C13" s="14">
        <f>K5</f>
        <v>0.314</v>
      </c>
      <c r="D13" s="14">
        <f>K6</f>
        <v>0.34100000000000003</v>
      </c>
      <c r="E13" s="14">
        <f>K7</f>
        <v>-0.22</v>
      </c>
      <c r="F13" s="14">
        <f>K8</f>
        <v>0.23899999999999999</v>
      </c>
      <c r="G13" s="14">
        <f>K9</f>
        <v>0.109</v>
      </c>
      <c r="H13" s="14">
        <f>K10</f>
        <v>-0.21099999999999999</v>
      </c>
      <c r="I13" s="14">
        <f>K11</f>
        <v>0.51100000000000001</v>
      </c>
      <c r="J13" s="14">
        <f>K12</f>
        <v>1.7000000000000001E-2</v>
      </c>
      <c r="K13" s="13">
        <v>1</v>
      </c>
      <c r="L13">
        <v>-0.34399999999999997</v>
      </c>
      <c r="M13">
        <v>-0.111</v>
      </c>
      <c r="N13">
        <v>5.7000000000000002E-2</v>
      </c>
      <c r="O13">
        <v>0.28299999999999997</v>
      </c>
      <c r="P13">
        <v>-0.25</v>
      </c>
    </row>
    <row r="14" spans="1:16">
      <c r="A14" s="10" t="s">
        <v>39</v>
      </c>
      <c r="B14" s="14">
        <f>L4</f>
        <v>-0.29799999999999999</v>
      </c>
      <c r="C14" s="14">
        <f>L5</f>
        <v>4.5999999999999999E-2</v>
      </c>
      <c r="D14" s="14">
        <f>L6</f>
        <v>0.19800000000000001</v>
      </c>
      <c r="E14" s="14">
        <f>L7</f>
        <v>0.29799999999999999</v>
      </c>
      <c r="F14" s="14">
        <f>L8</f>
        <v>7.0000000000000007E-2</v>
      </c>
      <c r="G14" s="14">
        <f>L9</f>
        <v>-0.35099999999999998</v>
      </c>
      <c r="H14" s="14">
        <f>L10</f>
        <v>0.17100000000000001</v>
      </c>
      <c r="I14" s="14">
        <f>L11</f>
        <v>1.4E-2</v>
      </c>
      <c r="J14" s="14">
        <f>L12</f>
        <v>0.191</v>
      </c>
      <c r="K14" s="14">
        <f>L13</f>
        <v>-0.34399999999999997</v>
      </c>
      <c r="L14" s="13">
        <v>1</v>
      </c>
      <c r="M14">
        <v>0.121</v>
      </c>
      <c r="N14">
        <v>-0.11600000000000001</v>
      </c>
      <c r="O14">
        <v>0.40600000000000003</v>
      </c>
      <c r="P14">
        <v>0.183</v>
      </c>
    </row>
    <row r="15" spans="1:16">
      <c r="A15" s="10" t="s">
        <v>40</v>
      </c>
      <c r="B15" s="14">
        <f>M4</f>
        <v>-0.34100000000000003</v>
      </c>
      <c r="C15" s="14">
        <f>M5</f>
        <v>-7.0999999999999994E-2</v>
      </c>
      <c r="D15" s="14">
        <f>M6</f>
        <v>0.19600000000000001</v>
      </c>
      <c r="E15" s="14">
        <f>M7</f>
        <v>0.115</v>
      </c>
      <c r="F15" s="14">
        <f>M8</f>
        <v>-0.47499999999999998</v>
      </c>
      <c r="G15" s="14">
        <f>M9</f>
        <v>-0.13800000000000001</v>
      </c>
      <c r="H15" s="14">
        <f>M10</f>
        <v>-0.13100000000000001</v>
      </c>
      <c r="I15" s="14">
        <f>M11</f>
        <v>0.25</v>
      </c>
      <c r="J15" s="14">
        <f>M12</f>
        <v>-0.61799999999999999</v>
      </c>
      <c r="K15" s="14">
        <f>M13</f>
        <v>-0.111</v>
      </c>
      <c r="L15" s="14">
        <f>M14</f>
        <v>0.121</v>
      </c>
      <c r="M15" s="13">
        <v>1</v>
      </c>
      <c r="N15">
        <v>0.23599999999999999</v>
      </c>
      <c r="O15">
        <v>5.7000000000000002E-2</v>
      </c>
      <c r="P15">
        <v>0.216</v>
      </c>
    </row>
    <row r="16" spans="1:16">
      <c r="A16" s="10" t="s">
        <v>41</v>
      </c>
      <c r="B16" s="14">
        <f>N4</f>
        <v>0.38</v>
      </c>
      <c r="C16" s="14">
        <f>N5</f>
        <v>0.42799999999999999</v>
      </c>
      <c r="D16" s="14">
        <f>N6</f>
        <v>0.379</v>
      </c>
      <c r="E16" s="14">
        <f>N7</f>
        <v>-1.7999999999999999E-2</v>
      </c>
      <c r="F16" s="14">
        <f>N8</f>
        <v>0.14599999999999999</v>
      </c>
      <c r="G16" s="14">
        <f>N9</f>
        <v>0.58699999999999997</v>
      </c>
      <c r="H16" s="14">
        <f>N10</f>
        <v>0.55000000000000004</v>
      </c>
      <c r="I16" s="14">
        <f>N11</f>
        <v>7.0999999999999994E-2</v>
      </c>
      <c r="J16" s="14">
        <f>N12</f>
        <v>3.4000000000000002E-2</v>
      </c>
      <c r="K16" s="14">
        <f>N13</f>
        <v>5.7000000000000002E-2</v>
      </c>
      <c r="L16" s="14">
        <f>N14</f>
        <v>-0.11600000000000001</v>
      </c>
      <c r="M16" s="14">
        <f>N15</f>
        <v>0.23599999999999999</v>
      </c>
      <c r="N16" s="13">
        <v>1</v>
      </c>
      <c r="O16">
        <v>8.4000000000000005E-2</v>
      </c>
      <c r="P16">
        <v>-0.112</v>
      </c>
    </row>
    <row r="17" spans="1:16">
      <c r="A17" s="10" t="s">
        <v>42</v>
      </c>
      <c r="B17" s="14">
        <f>O4</f>
        <v>-0.20899999999999999</v>
      </c>
      <c r="C17" s="14">
        <f>O5</f>
        <v>0.114</v>
      </c>
      <c r="D17" s="14">
        <f>O6</f>
        <v>0.51900000000000002</v>
      </c>
      <c r="E17" s="14">
        <f>O7</f>
        <v>0.28399999999999997</v>
      </c>
      <c r="F17" s="14">
        <f>O8</f>
        <v>2.5999999999999999E-2</v>
      </c>
      <c r="G17" s="14">
        <f>O9</f>
        <v>4.4999999999999998E-2</v>
      </c>
      <c r="H17" s="14">
        <f>O10</f>
        <v>0.29399999999999998</v>
      </c>
      <c r="I17" s="14">
        <f>O11</f>
        <v>6.5000000000000002E-2</v>
      </c>
      <c r="J17" s="14">
        <f>O12</f>
        <v>0.17299999999999999</v>
      </c>
      <c r="K17" s="14">
        <f>O13</f>
        <v>0.28299999999999997</v>
      </c>
      <c r="L17" s="14">
        <f>O14</f>
        <v>0.40600000000000003</v>
      </c>
      <c r="M17" s="14">
        <f>O15</f>
        <v>5.7000000000000002E-2</v>
      </c>
      <c r="N17" s="14">
        <f>O16</f>
        <v>8.4000000000000005E-2</v>
      </c>
      <c r="O17" s="13">
        <v>1</v>
      </c>
      <c r="P17">
        <v>0.107</v>
      </c>
    </row>
    <row r="18" spans="1:16">
      <c r="A18" s="10" t="s">
        <v>43</v>
      </c>
      <c r="B18" s="14">
        <f>P4</f>
        <v>-0.34399999999999997</v>
      </c>
      <c r="C18" s="14">
        <f>P5</f>
        <v>4.3999999999999997E-2</v>
      </c>
      <c r="D18" s="14">
        <f>P6</f>
        <v>0.152</v>
      </c>
      <c r="E18" s="14">
        <f>P7</f>
        <v>-5.0000000000000001E-3</v>
      </c>
      <c r="F18" s="14">
        <f>P8</f>
        <v>-0.33900000000000002</v>
      </c>
      <c r="G18" s="14">
        <f>P9</f>
        <v>0.23400000000000001</v>
      </c>
      <c r="H18" s="14">
        <f>P10</f>
        <v>0.34300000000000003</v>
      </c>
      <c r="I18" s="14">
        <f>P11</f>
        <v>0.376</v>
      </c>
      <c r="J18" s="14">
        <f>P12</f>
        <v>0.20899999999999999</v>
      </c>
      <c r="K18" s="14">
        <f>P13</f>
        <v>-0.25</v>
      </c>
      <c r="L18" s="14">
        <f>P14</f>
        <v>0.183</v>
      </c>
      <c r="M18" s="14">
        <f>P15</f>
        <v>0.216</v>
      </c>
      <c r="N18" s="14">
        <f>P16</f>
        <v>-0.112</v>
      </c>
      <c r="O18" s="14">
        <f>P17</f>
        <v>0.107</v>
      </c>
      <c r="P18" s="13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nitiate_Corr">
                <anchor moveWithCells="1" sizeWithCells="1">
                  <from>
                    <xdr:col>3</xdr:col>
                    <xdr:colOff>342900</xdr:colOff>
                    <xdr:row>0</xdr:row>
                    <xdr:rowOff>123825</xdr:rowOff>
                  </from>
                  <to>
                    <xdr:col>4</xdr:col>
                    <xdr:colOff>590550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PrintRandomCorrelationMatrix">
                <anchor moveWithCells="1" sizeWithCells="1">
                  <from>
                    <xdr:col>5</xdr:col>
                    <xdr:colOff>76200</xdr:colOff>
                    <xdr:row>0</xdr:row>
                    <xdr:rowOff>104775</xdr:rowOff>
                  </from>
                  <to>
                    <xdr:col>6</xdr:col>
                    <xdr:colOff>314325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481E1-A791-49B5-9F50-5E930A18A10B}">
  <sheetPr codeName="Sheet6">
    <tabColor rgb="FFFF0000"/>
  </sheetPr>
  <dimension ref="A1:L7"/>
  <sheetViews>
    <sheetView tabSelected="1" zoomScale="115" zoomScaleNormal="115" workbookViewId="0">
      <selection activeCell="L7" sqref="L7"/>
    </sheetView>
  </sheetViews>
  <sheetFormatPr defaultRowHeight="15"/>
  <cols>
    <col min="2" max="2" width="11.28515625" bestFit="1" customWidth="1"/>
    <col min="3" max="3" width="17.42578125" style="35" bestFit="1" customWidth="1"/>
    <col min="12" max="12" width="9.7109375" bestFit="1" customWidth="1"/>
  </cols>
  <sheetData>
    <row r="1" spans="1:12" ht="15.75" customHeight="1">
      <c r="A1" s="34"/>
    </row>
    <row r="3" spans="1:12">
      <c r="C3"/>
    </row>
    <row r="4" spans="1:12">
      <c r="C4"/>
    </row>
    <row r="5" spans="1:12">
      <c r="C5"/>
    </row>
    <row r="6" spans="1:12">
      <c r="C6"/>
    </row>
    <row r="7" spans="1:12">
      <c r="I7" s="10" t="s">
        <v>44</v>
      </c>
      <c r="L7" s="36" t="s">
        <v>45</v>
      </c>
    </row>
  </sheetData>
  <dataValidations count="1">
    <dataValidation type="list" allowBlank="1" showInputMessage="1" showErrorMessage="1" sqref="L7" xr:uid="{60788035-551A-4096-AD0C-FCF75F1731FA}">
      <formula1>"Ultra High, Very High, High, Normal, Low, Very Low"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unPython">
                <anchor moveWithCells="1" sizeWithCells="1">
                  <from>
                    <xdr:col>7</xdr:col>
                    <xdr:colOff>590550</xdr:colOff>
                    <xdr:row>9</xdr:row>
                    <xdr:rowOff>180975</xdr:rowOff>
                  </from>
                  <to>
                    <xdr:col>12</xdr:col>
                    <xdr:colOff>28575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8D8CE-08D8-4283-8B63-CD776C5C2486}">
  <sheetPr codeName="Sheet3">
    <tabColor theme="5" tint="0.39997558519241921"/>
  </sheetPr>
  <dimension ref="A1:I9"/>
  <sheetViews>
    <sheetView zoomScale="115" zoomScaleNormal="115" workbookViewId="0">
      <selection activeCell="G7" sqref="G7"/>
    </sheetView>
  </sheetViews>
  <sheetFormatPr defaultRowHeight="15"/>
  <cols>
    <col min="9" max="9" width="10.28515625" bestFit="1" customWidth="1"/>
  </cols>
  <sheetData>
    <row r="1" spans="1:9" ht="27.75" customHeight="1">
      <c r="A1" s="23" t="s">
        <v>30</v>
      </c>
      <c r="B1" s="19"/>
      <c r="C1" s="20"/>
      <c r="D1" s="19"/>
      <c r="E1" s="19"/>
      <c r="F1" s="19"/>
      <c r="G1" s="19"/>
      <c r="H1" s="19"/>
      <c r="I1" s="19"/>
    </row>
    <row r="2" spans="1:9" ht="15.75">
      <c r="A2" s="19"/>
      <c r="B2" s="22" t="s">
        <v>8</v>
      </c>
      <c r="C2" s="22" t="s">
        <v>13</v>
      </c>
      <c r="D2" s="22" t="s">
        <v>14</v>
      </c>
      <c r="E2" s="22" t="s">
        <v>10</v>
      </c>
      <c r="F2" s="22" t="s">
        <v>9</v>
      </c>
      <c r="G2" s="22" t="s">
        <v>11</v>
      </c>
      <c r="H2" s="22" t="s">
        <v>12</v>
      </c>
      <c r="I2" s="22" t="s">
        <v>33</v>
      </c>
    </row>
    <row r="3" spans="1:9" ht="15.75">
      <c r="A3" s="22" t="s">
        <v>8</v>
      </c>
      <c r="B3" s="21">
        <v>0.90810000000000002</v>
      </c>
      <c r="C3" s="21">
        <v>8.3299999999999999E-2</v>
      </c>
      <c r="D3" s="21">
        <v>6.7999999999999996E-3</v>
      </c>
      <c r="E3" s="21">
        <v>5.9999999999999995E-4</v>
      </c>
      <c r="F3" s="21">
        <v>1.1999999999999999E-3</v>
      </c>
      <c r="G3" s="21">
        <v>0</v>
      </c>
      <c r="H3" s="21">
        <v>0</v>
      </c>
      <c r="I3" s="21">
        <v>0</v>
      </c>
    </row>
    <row r="4" spans="1:9" ht="15.75">
      <c r="A4" s="22" t="s">
        <v>13</v>
      </c>
      <c r="B4" s="21">
        <v>7.0000000000000001E-3</v>
      </c>
      <c r="C4" s="21">
        <v>0.90649999999999997</v>
      </c>
      <c r="D4" s="21">
        <v>7.7899999999999997E-2</v>
      </c>
      <c r="E4" s="21">
        <v>6.4000000000000003E-3</v>
      </c>
      <c r="F4" s="21">
        <v>5.9999999999999995E-4</v>
      </c>
      <c r="G4" s="21">
        <v>1.4E-3</v>
      </c>
      <c r="H4" s="21">
        <v>2.0000000000000001E-4</v>
      </c>
      <c r="I4" s="21">
        <v>0</v>
      </c>
    </row>
    <row r="5" spans="1:9" ht="15.75">
      <c r="A5" s="22" t="s">
        <v>14</v>
      </c>
      <c r="B5" s="21">
        <v>8.9999999999999998E-4</v>
      </c>
      <c r="C5" s="21">
        <v>2.2700000000000001E-2</v>
      </c>
      <c r="D5" s="21">
        <v>0.91049999999999998</v>
      </c>
      <c r="E5" s="21">
        <v>5.5199999999999999E-2</v>
      </c>
      <c r="F5" s="21">
        <v>7.4000000000000003E-3</v>
      </c>
      <c r="G5" s="21">
        <v>2.5999999999999999E-3</v>
      </c>
      <c r="H5" s="21">
        <v>1E-4</v>
      </c>
      <c r="I5" s="21">
        <v>5.9999999999999995E-4</v>
      </c>
    </row>
    <row r="6" spans="1:9" ht="15.75">
      <c r="A6" s="22" t="s">
        <v>10</v>
      </c>
      <c r="B6" s="21">
        <v>2.0000000000000001E-4</v>
      </c>
      <c r="C6" s="21">
        <v>3.3E-3</v>
      </c>
      <c r="D6" s="21">
        <v>5.9499999999999997E-2</v>
      </c>
      <c r="E6" s="21">
        <v>0.86929999999999996</v>
      </c>
      <c r="F6" s="21">
        <v>5.2999999999999999E-2</v>
      </c>
      <c r="G6" s="21">
        <v>1.17E-2</v>
      </c>
      <c r="H6" s="21">
        <v>1.1999999999999999E-3</v>
      </c>
      <c r="I6" s="21">
        <v>1.8E-3</v>
      </c>
    </row>
    <row r="7" spans="1:9" ht="15.75">
      <c r="A7" s="22" t="s">
        <v>9</v>
      </c>
      <c r="B7" s="21">
        <v>2.9999999999999997E-4</v>
      </c>
      <c r="C7" s="21">
        <v>1.4E-3</v>
      </c>
      <c r="D7" s="21">
        <v>6.7000000000000002E-3</v>
      </c>
      <c r="E7" s="21">
        <v>7.7299999999999994E-2</v>
      </c>
      <c r="F7" s="21">
        <v>0.80530000000000002</v>
      </c>
      <c r="G7" s="21">
        <v>8.8400000000000006E-2</v>
      </c>
      <c r="H7" s="21">
        <v>0.01</v>
      </c>
      <c r="I7" s="21">
        <v>1.06E-2</v>
      </c>
    </row>
    <row r="8" spans="1:9" ht="15.75">
      <c r="A8" s="22" t="s">
        <v>11</v>
      </c>
      <c r="B8" s="21">
        <v>1E-4</v>
      </c>
      <c r="C8" s="21">
        <v>1.1000000000000001E-3</v>
      </c>
      <c r="D8" s="21">
        <v>2.3999999999999998E-3</v>
      </c>
      <c r="E8" s="21">
        <v>4.3E-3</v>
      </c>
      <c r="F8" s="21">
        <v>6.4799999999999996E-2</v>
      </c>
      <c r="G8" s="21">
        <v>0.83460000000000001</v>
      </c>
      <c r="H8" s="21">
        <v>4.07E-2</v>
      </c>
      <c r="I8" s="21">
        <v>5.1999999999999998E-2</v>
      </c>
    </row>
    <row r="9" spans="1:9" ht="15.75">
      <c r="A9" s="22" t="s">
        <v>12</v>
      </c>
      <c r="B9" s="21">
        <v>2.2000000000000001E-3</v>
      </c>
      <c r="C9" s="21">
        <v>0</v>
      </c>
      <c r="D9" s="21">
        <v>2.2000000000000001E-3</v>
      </c>
      <c r="E9" s="21">
        <v>1.2999999999999999E-2</v>
      </c>
      <c r="F9" s="21">
        <v>2.3800000000000002E-2</v>
      </c>
      <c r="G9" s="21">
        <v>0.1124</v>
      </c>
      <c r="H9" s="21">
        <v>0.64859999999999995</v>
      </c>
      <c r="I9" s="21">
        <v>0.1978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D73B3-8878-4323-9A40-9CF6F98D4A58}">
  <sheetPr codeName="Sheet4">
    <tabColor theme="5" tint="0.39997558519241921"/>
  </sheetPr>
  <dimension ref="A1:H9"/>
  <sheetViews>
    <sheetView zoomScale="115" zoomScaleNormal="115" workbookViewId="0">
      <selection activeCell="A2" sqref="A2:A9"/>
    </sheetView>
  </sheetViews>
  <sheetFormatPr defaultRowHeight="15"/>
  <cols>
    <col min="6" max="6" width="11.140625" bestFit="1" customWidth="1"/>
  </cols>
  <sheetData>
    <row r="1" spans="1:8" ht="30.75" customHeight="1">
      <c r="A1" s="23" t="s">
        <v>31</v>
      </c>
      <c r="B1" s="19"/>
      <c r="C1" s="19"/>
      <c r="D1" s="19"/>
      <c r="E1" s="19"/>
      <c r="F1" s="19"/>
      <c r="G1" s="19"/>
    </row>
    <row r="2" spans="1:8" ht="15.75">
      <c r="A2" s="22" t="s">
        <v>32</v>
      </c>
      <c r="B2" s="22">
        <v>1</v>
      </c>
      <c r="C2" s="22">
        <v>2</v>
      </c>
      <c r="D2" s="22">
        <v>3</v>
      </c>
      <c r="E2" s="22">
        <v>4</v>
      </c>
      <c r="F2" s="22">
        <v>5</v>
      </c>
      <c r="G2" s="22">
        <v>6</v>
      </c>
      <c r="H2" s="22"/>
    </row>
    <row r="3" spans="1:8" ht="15.75">
      <c r="A3" s="19" t="s">
        <v>8</v>
      </c>
      <c r="B3" s="21">
        <v>3.5999999999999997E-2</v>
      </c>
      <c r="C3" s="21">
        <v>4.1700000000000001E-2</v>
      </c>
      <c r="D3" s="21">
        <v>4.7300000000000002E-2</v>
      </c>
      <c r="E3" s="21">
        <v>5.1200000000000002E-2</v>
      </c>
      <c r="F3" s="21">
        <v>5.5100000000000003E-2</v>
      </c>
      <c r="G3" s="21">
        <v>5.8999999999999997E-2</v>
      </c>
    </row>
    <row r="4" spans="1:8" ht="15.75">
      <c r="A4" s="19" t="s">
        <v>13</v>
      </c>
      <c r="B4" s="21">
        <v>3.6499999999999998E-2</v>
      </c>
      <c r="C4" s="21">
        <v>4.2200000000000001E-2</v>
      </c>
      <c r="D4" s="21">
        <v>4.7800000000000002E-2</v>
      </c>
      <c r="E4" s="21">
        <v>5.1700000000000003E-2</v>
      </c>
      <c r="F4" s="21">
        <v>5.5599999999999997E-2</v>
      </c>
      <c r="G4" s="21">
        <v>5.9499999999999997E-2</v>
      </c>
    </row>
    <row r="5" spans="1:8" ht="15.75">
      <c r="A5" s="19" t="s">
        <v>14</v>
      </c>
      <c r="B5" s="21">
        <v>3.7199999999999997E-2</v>
      </c>
      <c r="C5" s="21">
        <v>4.3200000000000002E-2</v>
      </c>
      <c r="D5" s="21">
        <v>4.9299999999999997E-2</v>
      </c>
      <c r="E5" s="21">
        <v>5.3199999999999997E-2</v>
      </c>
      <c r="F5" s="21">
        <v>5.7099999999999998E-2</v>
      </c>
      <c r="G5" s="21">
        <v>6.0999999999999999E-2</v>
      </c>
    </row>
    <row r="6" spans="1:8" ht="15.75">
      <c r="A6" s="19" t="s">
        <v>10</v>
      </c>
      <c r="B6" s="21">
        <v>4.1000000000000002E-2</v>
      </c>
      <c r="C6" s="21">
        <v>4.6699999999999998E-2</v>
      </c>
      <c r="D6" s="21">
        <v>5.2499999999999998E-2</v>
      </c>
      <c r="E6" s="21">
        <v>5.6300000000000003E-2</v>
      </c>
      <c r="F6" s="21">
        <v>6.0100000000000001E-2</v>
      </c>
      <c r="G6" s="21">
        <v>6.3899999999999998E-2</v>
      </c>
    </row>
    <row r="7" spans="1:8" ht="15.75">
      <c r="A7" s="19" t="s">
        <v>9</v>
      </c>
      <c r="B7" s="21">
        <v>5.5500000000000001E-2</v>
      </c>
      <c r="C7" s="21">
        <v>6.0199999999999997E-2</v>
      </c>
      <c r="D7" s="21">
        <v>6.7799999999999999E-2</v>
      </c>
      <c r="E7" s="21">
        <v>7.2700000000000001E-2</v>
      </c>
      <c r="F7" s="21">
        <v>7.7600000000000002E-2</v>
      </c>
      <c r="G7" s="21">
        <v>8.2500000000000004E-2</v>
      </c>
    </row>
    <row r="8" spans="1:8" ht="15.75">
      <c r="A8" s="19" t="s">
        <v>11</v>
      </c>
      <c r="B8" s="21">
        <v>6.0499999999999998E-2</v>
      </c>
      <c r="C8" s="21">
        <v>7.0199999999999999E-2</v>
      </c>
      <c r="D8" s="21">
        <v>8.0299999999999996E-2</v>
      </c>
      <c r="E8" s="21">
        <v>8.5199999999999998E-2</v>
      </c>
      <c r="F8" s="21">
        <v>9.01E-2</v>
      </c>
      <c r="G8" s="21">
        <v>9.5000000000000001E-2</v>
      </c>
    </row>
    <row r="9" spans="1:8" ht="15.75">
      <c r="A9" s="19" t="s">
        <v>12</v>
      </c>
      <c r="B9" s="21">
        <v>0.15049999999999999</v>
      </c>
      <c r="C9" s="21">
        <v>0.1502</v>
      </c>
      <c r="D9" s="21">
        <v>0.14030000000000001</v>
      </c>
      <c r="E9" s="21">
        <v>0.13519999999999999</v>
      </c>
      <c r="F9" s="21">
        <v>0.13009999999999999</v>
      </c>
      <c r="G9" s="21">
        <v>0.125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79809-27EB-4B0F-8417-EF798BFDB637}">
  <sheetPr codeName="Sheet5">
    <tabColor theme="5" tint="0.39997558519241921"/>
  </sheetPr>
  <dimension ref="A1:C7"/>
  <sheetViews>
    <sheetView zoomScale="115" zoomScaleNormal="115" workbookViewId="0">
      <selection activeCell="J30" sqref="J30"/>
    </sheetView>
  </sheetViews>
  <sheetFormatPr defaultRowHeight="15"/>
  <cols>
    <col min="1" max="1" width="24.28515625" customWidth="1"/>
  </cols>
  <sheetData>
    <row r="1" spans="1:3" ht="30.75" customHeight="1">
      <c r="A1" s="15" t="s">
        <v>34</v>
      </c>
    </row>
    <row r="2" spans="1:3" ht="15.75">
      <c r="A2" s="25" t="s">
        <v>35</v>
      </c>
      <c r="B2" s="26" t="s">
        <v>36</v>
      </c>
      <c r="C2" s="26" t="s">
        <v>37</v>
      </c>
    </row>
    <row r="3" spans="1:3" ht="15.75">
      <c r="A3" s="25" t="s">
        <v>19</v>
      </c>
      <c r="B3" s="24">
        <v>0.53799999999999992</v>
      </c>
      <c r="C3" s="24">
        <v>0.26860000000000001</v>
      </c>
    </row>
    <row r="4" spans="1:3" ht="15.75">
      <c r="A4" s="25" t="s">
        <v>17</v>
      </c>
      <c r="B4" s="24">
        <v>0.51129999999999998</v>
      </c>
      <c r="C4" s="24">
        <v>0.2545</v>
      </c>
    </row>
    <row r="5" spans="1:3" ht="15.75">
      <c r="A5" s="25" t="s">
        <v>18</v>
      </c>
      <c r="B5" s="24">
        <v>0.38520000000000004</v>
      </c>
      <c r="C5" s="24">
        <v>0.23809999999999998</v>
      </c>
    </row>
    <row r="6" spans="1:3" ht="15.75">
      <c r="A6" s="25" t="s">
        <v>16</v>
      </c>
      <c r="B6" s="24">
        <v>0.32740000000000002</v>
      </c>
      <c r="C6" s="24">
        <v>0.20180000000000001</v>
      </c>
    </row>
    <row r="7" spans="1:3" ht="15.75">
      <c r="A7" s="25" t="s">
        <v>15</v>
      </c>
      <c r="B7" s="24">
        <v>0.1709</v>
      </c>
      <c r="C7" s="24">
        <v>0.109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Correlation</vt:lpstr>
      <vt:lpstr>Run Program</vt:lpstr>
      <vt:lpstr>Transition Matrix</vt:lpstr>
      <vt:lpstr>Forward Zero Curve</vt:lpstr>
      <vt:lpstr>Seniority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chan</dc:creator>
  <cp:lastModifiedBy>james chan</cp:lastModifiedBy>
  <dcterms:created xsi:type="dcterms:W3CDTF">2023-06-23T12:21:50Z</dcterms:created>
  <dcterms:modified xsi:type="dcterms:W3CDTF">2023-06-25T04:06:24Z</dcterms:modified>
</cp:coreProperties>
</file>