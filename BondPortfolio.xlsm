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ocuments\AREA 51\DON'T COME IN\"/>
    </mc:Choice>
  </mc:AlternateContent>
  <xr:revisionPtr revIDLastSave="0" documentId="13_ncr:1_{7A9FC510-3685-4DD5-96D7-3318E548AD5B}" xr6:coauthVersionLast="47" xr6:coauthVersionMax="47" xr10:uidLastSave="{00000000-0000-0000-0000-000000000000}"/>
  <bookViews>
    <workbookView xWindow="9945" yWindow="735" windowWidth="18465" windowHeight="14865" activeTab="1" xr2:uid="{F53AC358-6105-49AD-A9C7-AA3881A0625B}"/>
  </bookViews>
  <sheets>
    <sheet name="Portfolio" sheetId="1" r:id="rId1"/>
    <sheet name="Correlation" sheetId="2" r:id="rId2"/>
    <sheet name="Transition Matrix" sheetId="3" r:id="rId3"/>
    <sheet name="Forward Zero Curve" sheetId="4" r:id="rId4"/>
    <sheet name="Seniority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3" i="2" l="1"/>
  <c r="S23" i="2"/>
  <c r="S22" i="2"/>
  <c r="R23" i="2"/>
  <c r="R22" i="2"/>
  <c r="R21" i="2"/>
  <c r="Q23" i="2"/>
  <c r="Q22" i="2"/>
  <c r="Q21" i="2"/>
  <c r="Q20" i="2"/>
  <c r="P23" i="2"/>
  <c r="P22" i="2"/>
  <c r="P21" i="2"/>
  <c r="P20" i="2"/>
  <c r="P19" i="2"/>
  <c r="O23" i="2"/>
  <c r="O22" i="2"/>
  <c r="O21" i="2"/>
  <c r="O20" i="2"/>
  <c r="O19" i="2"/>
  <c r="O18" i="2"/>
  <c r="N23" i="2"/>
  <c r="N22" i="2"/>
  <c r="N21" i="2"/>
  <c r="N20" i="2"/>
  <c r="N19" i="2"/>
  <c r="N18" i="2"/>
  <c r="N17" i="2"/>
  <c r="M23" i="2"/>
  <c r="M22" i="2"/>
  <c r="M21" i="2"/>
  <c r="M20" i="2"/>
  <c r="M19" i="2"/>
  <c r="M18" i="2"/>
  <c r="M17" i="2"/>
  <c r="M16" i="2"/>
  <c r="L23" i="2"/>
  <c r="L22" i="2"/>
  <c r="L21" i="2"/>
  <c r="L20" i="2"/>
  <c r="L19" i="2"/>
  <c r="L18" i="2"/>
  <c r="L17" i="2"/>
  <c r="L16" i="2"/>
  <c r="L15" i="2"/>
  <c r="K23" i="2"/>
  <c r="K22" i="2"/>
  <c r="K21" i="2"/>
  <c r="K20" i="2"/>
  <c r="K19" i="2"/>
  <c r="K18" i="2"/>
  <c r="K17" i="2"/>
  <c r="K16" i="2"/>
  <c r="K15" i="2"/>
  <c r="K14" i="2"/>
  <c r="J23" i="2"/>
  <c r="J22" i="2"/>
  <c r="J21" i="2"/>
  <c r="J20" i="2"/>
  <c r="J19" i="2"/>
  <c r="J18" i="2"/>
  <c r="J17" i="2"/>
  <c r="J16" i="2"/>
  <c r="J15" i="2"/>
  <c r="J14" i="2"/>
  <c r="J13" i="2"/>
  <c r="I23" i="2"/>
  <c r="I22" i="2"/>
  <c r="I21" i="2"/>
  <c r="I20" i="2"/>
  <c r="I19" i="2"/>
  <c r="I18" i="2"/>
  <c r="I17" i="2"/>
  <c r="I16" i="2"/>
  <c r="I15" i="2"/>
  <c r="I14" i="2"/>
  <c r="I13" i="2"/>
  <c r="I12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<sst xmlns="http://schemas.openxmlformats.org/spreadsheetml/2006/main" count="123" uniqueCount="49">
  <si>
    <t>Face Value</t>
  </si>
  <si>
    <t>Seniority Type</t>
  </si>
  <si>
    <t>Maturity (Year)</t>
  </si>
  <si>
    <t>Portfolio</t>
  </si>
  <si>
    <t>Counpon Rate (%)</t>
  </si>
  <si>
    <t>Initial Rating</t>
  </si>
  <si>
    <t>Random Generator</t>
  </si>
  <si>
    <t>Bonds:</t>
  </si>
  <si>
    <t>AAA</t>
  </si>
  <si>
    <t>BB</t>
  </si>
  <si>
    <t>BBB</t>
  </si>
  <si>
    <t>B</t>
  </si>
  <si>
    <t>CCC</t>
  </si>
  <si>
    <t>AA</t>
  </si>
  <si>
    <t>A</t>
  </si>
  <si>
    <t>Junior Subordinated</t>
  </si>
  <si>
    <t>Subordinated</t>
  </si>
  <si>
    <t>Senior Unsecured</t>
  </si>
  <si>
    <t>Senior Subordinated</t>
  </si>
  <si>
    <t>Senior Secured</t>
  </si>
  <si>
    <t>Bond1</t>
  </si>
  <si>
    <t>Bond2</t>
  </si>
  <si>
    <t>Bond3</t>
  </si>
  <si>
    <t>Bond4</t>
  </si>
  <si>
    <t>Bond5</t>
  </si>
  <si>
    <t>Bond6</t>
  </si>
  <si>
    <t>Bond7</t>
  </si>
  <si>
    <t>Bond8</t>
  </si>
  <si>
    <t>Bond9</t>
  </si>
  <si>
    <t>Bond10</t>
  </si>
  <si>
    <t>Bond11</t>
  </si>
  <si>
    <t>Bond12</t>
  </si>
  <si>
    <t>Bond13</t>
  </si>
  <si>
    <t>Bond14</t>
  </si>
  <si>
    <t>Bond15</t>
  </si>
  <si>
    <t>Bond16</t>
  </si>
  <si>
    <t>Bond17</t>
  </si>
  <si>
    <t>Bond18</t>
  </si>
  <si>
    <t>Bond19</t>
  </si>
  <si>
    <t>Bond20</t>
  </si>
  <si>
    <t>Correlation Matrix</t>
  </si>
  <si>
    <t>One-year transition matrix</t>
  </si>
  <si>
    <t>One-year forward zero curves</t>
  </si>
  <si>
    <t>Year</t>
  </si>
  <si>
    <t>Default</t>
  </si>
  <si>
    <t>Recovery Rates By Seniority Class</t>
  </si>
  <si>
    <t>Seniority Class</t>
  </si>
  <si>
    <t>Mean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</si>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</sst>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Arial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>
      <alignment vertical="center"/>
    </xf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1" fillId="0" borderId="0" xfId="0" applyFont="1"/>
    <xf numFmtId="0" fontId="1" fillId="0" borderId="1" xfId="0" applyFont="1" applyBorder="1"/>
    <xf numFmtId="0" fontId="0" fillId="3" borderId="1" xfId="0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4" borderId="0" xfId="0" applyFill="1"/>
    <xf numFmtId="0" fontId="0" fillId="5" borderId="0" xfId="0" applyFill="1"/>
    <xf numFmtId="0" fontId="5" fillId="0" borderId="0" xfId="0" applyFont="1"/>
    <xf numFmtId="0" fontId="4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9" fontId="0" fillId="0" borderId="0" xfId="0" applyNumberFormat="1" applyBorder="1" applyAlignment="1">
      <alignment horizontal="right"/>
    </xf>
    <xf numFmtId="0" fontId="6" fillId="0" borderId="0" xfId="1" applyFont="1">
      <alignment vertical="center"/>
    </xf>
    <xf numFmtId="0" fontId="8" fillId="0" borderId="0" xfId="1" applyFont="1">
      <alignment vertical="center"/>
    </xf>
    <xf numFmtId="0" fontId="6" fillId="0" borderId="0" xfId="1" applyFont="1" applyBorder="1">
      <alignment vertical="center"/>
    </xf>
    <xf numFmtId="10" fontId="6" fillId="0" borderId="0" xfId="1" applyNumberFormat="1" applyFont="1" applyBorder="1">
      <alignment vertical="center"/>
    </xf>
    <xf numFmtId="0" fontId="2" fillId="0" borderId="0" xfId="1" applyFont="1" applyBorder="1">
      <alignment vertical="center"/>
    </xf>
    <xf numFmtId="0" fontId="5" fillId="0" borderId="0" xfId="1" applyFont="1">
      <alignment vertical="center"/>
    </xf>
    <xf numFmtId="0" fontId="2" fillId="0" borderId="0" xfId="1" applyFont="1" applyFill="1" applyBorder="1">
      <alignment vertical="center"/>
    </xf>
    <xf numFmtId="10" fontId="9" fillId="0" borderId="0" xfId="1" applyNumberFormat="1" applyFont="1" applyBorder="1" applyAlignment="1">
      <alignment horizontal="right" vertical="center"/>
    </xf>
    <xf numFmtId="0" fontId="2" fillId="0" borderId="0" xfId="1" applyFont="1" applyBorder="1" applyAlignment="1">
      <alignment horizontal="right" vertical="center"/>
    </xf>
    <xf numFmtId="0" fontId="2" fillId="0" borderId="0" xfId="1" applyFont="1" applyBorder="1" applyAlignment="1">
      <alignment horizontal="right" vertical="top"/>
    </xf>
  </cellXfs>
  <cellStyles count="2">
    <cellStyle name="Normal" xfId="0" builtinId="0"/>
    <cellStyle name="Normal 2" xfId="1" xr:uid="{43654FE4-9880-4DA0-87CD-5BB5C3FD9D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M$7" max="40" min="1" page="10" val="2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5</xdr:row>
          <xdr:rowOff>95250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8</xdr:row>
          <xdr:rowOff>66675</xdr:rowOff>
        </xdr:from>
        <xdr:to>
          <xdr:col>12</xdr:col>
          <xdr:colOff>304800</xdr:colOff>
          <xdr:row>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339586</xdr:colOff>
          <xdr:row>0</xdr:row>
          <xdr:rowOff>124238</xdr:rowOff>
        </xdr:from>
        <xdr:to>
          <xdr:col>4</xdr:col>
          <xdr:colOff>588066</xdr:colOff>
          <xdr:row>1</xdr:row>
          <xdr:rowOff>61291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91108</xdr:colOff>
      <xdr:row>0</xdr:row>
      <xdr:rowOff>74544</xdr:rowOff>
    </xdr:from>
    <xdr:to>
      <xdr:col>15</xdr:col>
      <xdr:colOff>409575</xdr:colOff>
      <xdr:row>1</xdr:row>
      <xdr:rowOff>49696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5E8B2E1-B0DF-E27E-FA7B-005943A6E32A}"/>
            </a:ext>
          </a:extLst>
        </xdr:cNvPr>
        <xdr:cNvSpPr/>
      </xdr:nvSpPr>
      <xdr:spPr>
        <a:xfrm>
          <a:off x="4463083" y="74544"/>
          <a:ext cx="5195267" cy="2704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Note 1: Only</a:t>
          </a:r>
          <a:r>
            <a:rPr lang="en-GB" sz="1100" baseline="0">
              <a:solidFill>
                <a:schemeClr val="tx1"/>
              </a:solidFill>
            </a:rPr>
            <a:t> edit grids with no color. Note 2: Only press random after initiated board.</a:t>
          </a:r>
          <a:endParaRPr lang="en-GB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104775</xdr:rowOff>
        </xdr:from>
        <xdr:to>
          <xdr:col>6</xdr:col>
          <xdr:colOff>314325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3905-5E89-4B36-9ADB-E1A32F346D04}">
  <sheetPr codeName="Sheet1">
    <tabColor theme="4" tint="-0.249977111117893"/>
  </sheetPr>
  <dimension ref="A1:M43"/>
  <sheetViews>
    <sheetView zoomScale="115" zoomScaleNormal="115" workbookViewId="0">
      <selection activeCell="L10" sqref="L10"/>
    </sheetView>
  </sheetViews>
  <sheetFormatPr defaultRowHeight="15"/>
  <cols>
    <col min="1" max="1" width="15" customWidth="1"/>
    <col min="2" max="2" width="10.5703125" customWidth="1"/>
    <col min="3" max="3" width="19.42578125" bestFit="1" customWidth="1"/>
    <col min="4" max="4" width="10.7109375" customWidth="1"/>
  </cols>
  <sheetData>
    <row r="1" spans="1:13" ht="21.75" customHeight="1">
      <c r="A1" s="20" t="s">
        <v>3</v>
      </c>
      <c r="B1" s="20"/>
      <c r="C1" s="21"/>
      <c r="D1" s="21"/>
      <c r="E1" s="21"/>
    </row>
    <row r="2" spans="1:13" ht="44.25" customHeight="1">
      <c r="A2" s="1" t="s">
        <v>0</v>
      </c>
      <c r="B2" s="2" t="s">
        <v>5</v>
      </c>
      <c r="C2" s="2" t="s">
        <v>1</v>
      </c>
      <c r="D2" s="2" t="s">
        <v>4</v>
      </c>
      <c r="E2" s="2" t="s">
        <v>2</v>
      </c>
    </row>
    <row r="3" spans="1:13">
      <c r="A3" s="22">
        <v>7600000</v>
      </c>
      <c r="B3" s="23" t="s">
        <v>14</v>
      </c>
      <c r="C3" s="23" t="s">
        <v>16</v>
      </c>
      <c r="D3" s="24">
        <v>0.10000000149011612</v>
      </c>
      <c r="E3" s="23">
        <v>6</v>
      </c>
    </row>
    <row r="4" spans="1:13">
      <c r="A4" s="22">
        <v>3700000</v>
      </c>
      <c r="B4" s="23" t="s">
        <v>14</v>
      </c>
      <c r="C4" s="23" t="s">
        <v>19</v>
      </c>
      <c r="D4" s="24">
        <v>7.0000000298023224E-2</v>
      </c>
      <c r="E4" s="23">
        <v>1</v>
      </c>
    </row>
    <row r="5" spans="1:13" ht="15.75">
      <c r="A5" s="22">
        <v>1900000</v>
      </c>
      <c r="B5" s="23" t="s">
        <v>11</v>
      </c>
      <c r="C5" s="23" t="s">
        <v>18</v>
      </c>
      <c r="D5" s="24">
        <v>0.11999999731779099</v>
      </c>
      <c r="E5" s="23">
        <v>7</v>
      </c>
      <c r="K5" s="14" t="s">
        <v>6</v>
      </c>
      <c r="L5" s="15"/>
      <c r="M5" s="16"/>
    </row>
    <row r="6" spans="1:13">
      <c r="A6" s="22">
        <v>9800000</v>
      </c>
      <c r="B6" s="23" t="s">
        <v>10</v>
      </c>
      <c r="C6" s="23" t="s">
        <v>18</v>
      </c>
      <c r="D6" s="24">
        <v>1.9999999552965164E-2</v>
      </c>
      <c r="E6" s="23">
        <v>2</v>
      </c>
      <c r="K6" s="6"/>
      <c r="M6" s="7"/>
    </row>
    <row r="7" spans="1:13">
      <c r="A7" s="22">
        <v>800000</v>
      </c>
      <c r="B7" s="23" t="s">
        <v>13</v>
      </c>
      <c r="C7" s="23" t="s">
        <v>17</v>
      </c>
      <c r="D7" s="24">
        <v>7.0000000298023224E-2</v>
      </c>
      <c r="E7" s="23">
        <v>6</v>
      </c>
      <c r="K7" s="6"/>
      <c r="L7" s="12" t="s">
        <v>7</v>
      </c>
      <c r="M7" s="13">
        <v>20</v>
      </c>
    </row>
    <row r="8" spans="1:13">
      <c r="A8" s="22">
        <v>2400000</v>
      </c>
      <c r="B8" s="23" t="s">
        <v>11</v>
      </c>
      <c r="C8" s="23" t="s">
        <v>16</v>
      </c>
      <c r="D8" s="24">
        <v>3.9999999105930328E-2</v>
      </c>
      <c r="E8" s="23">
        <v>7</v>
      </c>
      <c r="K8" s="6"/>
      <c r="M8" s="7"/>
    </row>
    <row r="9" spans="1:13">
      <c r="A9" s="22">
        <v>2200000</v>
      </c>
      <c r="B9" s="23" t="s">
        <v>10</v>
      </c>
      <c r="C9" s="23" t="s">
        <v>19</v>
      </c>
      <c r="D9" s="24">
        <v>7.0000000298023224E-2</v>
      </c>
      <c r="E9" s="23">
        <v>4</v>
      </c>
      <c r="K9" s="3"/>
      <c r="L9" s="4"/>
      <c r="M9" s="5"/>
    </row>
    <row r="10" spans="1:13">
      <c r="A10" s="22">
        <v>5800000</v>
      </c>
      <c r="B10" s="23" t="s">
        <v>11</v>
      </c>
      <c r="C10" s="23" t="s">
        <v>18</v>
      </c>
      <c r="D10" s="24">
        <v>2.9999999329447746E-2</v>
      </c>
      <c r="E10" s="23">
        <v>3</v>
      </c>
      <c r="K10" s="8"/>
      <c r="L10" s="9"/>
      <c r="M10" s="10"/>
    </row>
    <row r="11" spans="1:13">
      <c r="A11" s="22">
        <v>4800000</v>
      </c>
      <c r="B11" s="23" t="s">
        <v>13</v>
      </c>
      <c r="C11" s="23" t="s">
        <v>19</v>
      </c>
      <c r="D11" s="24">
        <v>2.9999999329447746E-2</v>
      </c>
      <c r="E11" s="23">
        <v>7</v>
      </c>
    </row>
    <row r="12" spans="1:13">
      <c r="A12" s="22">
        <v>6200000</v>
      </c>
      <c r="B12" s="23" t="s">
        <v>8</v>
      </c>
      <c r="C12" s="23" t="s">
        <v>16</v>
      </c>
      <c r="D12" s="24">
        <v>2.9999999329447746E-2</v>
      </c>
      <c r="E12" s="23">
        <v>3</v>
      </c>
    </row>
    <row r="13" spans="1:13">
      <c r="A13" s="22">
        <v>1800000</v>
      </c>
      <c r="B13" s="23" t="s">
        <v>10</v>
      </c>
      <c r="C13" s="23" t="s">
        <v>19</v>
      </c>
      <c r="D13" s="24">
        <v>1.9999999552965164E-2</v>
      </c>
      <c r="E13" s="23">
        <v>2</v>
      </c>
    </row>
    <row r="14" spans="1:13">
      <c r="A14" s="22">
        <v>3300000</v>
      </c>
      <c r="B14" s="23" t="s">
        <v>11</v>
      </c>
      <c r="C14" s="23" t="s">
        <v>17</v>
      </c>
      <c r="D14" s="24">
        <v>5.000000074505806E-2</v>
      </c>
      <c r="E14" s="23">
        <v>7</v>
      </c>
    </row>
    <row r="15" spans="1:13">
      <c r="A15" s="22">
        <v>6200000</v>
      </c>
      <c r="B15" s="23" t="s">
        <v>14</v>
      </c>
      <c r="C15" s="23" t="s">
        <v>16</v>
      </c>
      <c r="D15" s="24">
        <v>5.9999998658895493E-2</v>
      </c>
      <c r="E15" s="23">
        <v>4</v>
      </c>
    </row>
    <row r="16" spans="1:13">
      <c r="A16" s="22">
        <v>2100000</v>
      </c>
      <c r="B16" s="23" t="s">
        <v>12</v>
      </c>
      <c r="C16" s="23" t="s">
        <v>15</v>
      </c>
      <c r="D16" s="24">
        <v>7.0000000298023224E-2</v>
      </c>
      <c r="E16" s="23">
        <v>7</v>
      </c>
    </row>
    <row r="17" spans="1:5">
      <c r="A17" s="22">
        <v>7100000</v>
      </c>
      <c r="B17" s="23" t="s">
        <v>11</v>
      </c>
      <c r="C17" s="23" t="s">
        <v>19</v>
      </c>
      <c r="D17" s="24">
        <v>5.000000074505806E-2</v>
      </c>
      <c r="E17" s="23">
        <v>5</v>
      </c>
    </row>
    <row r="18" spans="1:5">
      <c r="A18" s="22">
        <v>2100000</v>
      </c>
      <c r="B18" s="23" t="s">
        <v>11</v>
      </c>
      <c r="C18" s="23" t="s">
        <v>16</v>
      </c>
      <c r="D18" s="24">
        <v>5.000000074505806E-2</v>
      </c>
      <c r="E18" s="23">
        <v>4</v>
      </c>
    </row>
    <row r="19" spans="1:5">
      <c r="A19" s="22">
        <v>3700000</v>
      </c>
      <c r="B19" s="23" t="s">
        <v>13</v>
      </c>
      <c r="C19" s="23" t="s">
        <v>16</v>
      </c>
      <c r="D19" s="24">
        <v>0.10000000149011612</v>
      </c>
      <c r="E19" s="23">
        <v>4</v>
      </c>
    </row>
    <row r="20" spans="1:5">
      <c r="A20" s="22">
        <v>9900000</v>
      </c>
      <c r="B20" s="23" t="s">
        <v>8</v>
      </c>
      <c r="C20" s="23" t="s">
        <v>19</v>
      </c>
      <c r="D20" s="24">
        <v>2.9999999329447746E-2</v>
      </c>
      <c r="E20" s="23">
        <v>3</v>
      </c>
    </row>
    <row r="21" spans="1:5">
      <c r="A21" s="22">
        <v>1000000</v>
      </c>
      <c r="B21" s="23" t="s">
        <v>12</v>
      </c>
      <c r="C21" s="23" t="s">
        <v>19</v>
      </c>
      <c r="D21" s="24">
        <v>5.000000074505806E-2</v>
      </c>
      <c r="E21" s="23">
        <v>6</v>
      </c>
    </row>
    <row r="22" spans="1:5">
      <c r="A22" s="22">
        <v>7200000</v>
      </c>
      <c r="B22" s="23" t="s">
        <v>9</v>
      </c>
      <c r="C22" s="23" t="s">
        <v>17</v>
      </c>
      <c r="D22" s="24">
        <v>7.0000000298023224E-2</v>
      </c>
      <c r="E22" s="23">
        <v>5</v>
      </c>
    </row>
    <row r="23" spans="1:5">
      <c r="A23" s="22"/>
      <c r="B23" s="23"/>
      <c r="C23" s="23"/>
      <c r="D23" s="24"/>
      <c r="E23" s="23"/>
    </row>
    <row r="24" spans="1:5">
      <c r="A24" s="22"/>
      <c r="B24" s="23"/>
      <c r="C24" s="23"/>
      <c r="D24" s="24"/>
      <c r="E24" s="23"/>
    </row>
    <row r="25" spans="1:5">
      <c r="A25" s="22"/>
      <c r="B25" s="23"/>
      <c r="C25" s="23"/>
      <c r="D25" s="24"/>
      <c r="E25" s="23"/>
    </row>
    <row r="26" spans="1:5">
      <c r="A26" s="22"/>
      <c r="B26" s="23"/>
      <c r="C26" s="23"/>
      <c r="D26" s="24"/>
      <c r="E26" s="23"/>
    </row>
    <row r="27" spans="1:5">
      <c r="A27" s="22"/>
      <c r="B27" s="23"/>
      <c r="C27" s="23"/>
      <c r="D27" s="24"/>
      <c r="E27" s="23"/>
    </row>
    <row r="28" spans="1:5">
      <c r="A28" s="22"/>
      <c r="B28" s="23"/>
      <c r="C28" s="23"/>
      <c r="D28" s="24"/>
      <c r="E28" s="23"/>
    </row>
    <row r="29" spans="1:5">
      <c r="A29" s="22"/>
      <c r="B29" s="23"/>
      <c r="C29" s="23"/>
      <c r="D29" s="24"/>
      <c r="E29" s="23"/>
    </row>
    <row r="30" spans="1:5">
      <c r="A30" s="22"/>
      <c r="B30" s="23"/>
      <c r="C30" s="23"/>
      <c r="D30" s="24"/>
      <c r="E30" s="23"/>
    </row>
    <row r="31" spans="1:5">
      <c r="A31" s="22"/>
      <c r="B31" s="23"/>
      <c r="C31" s="23"/>
      <c r="D31" s="24"/>
      <c r="E31" s="23"/>
    </row>
    <row r="32" spans="1:5">
      <c r="A32" s="22"/>
      <c r="B32" s="23"/>
      <c r="C32" s="23"/>
      <c r="D32" s="24"/>
      <c r="E32" s="23"/>
    </row>
    <row r="33" spans="1:5">
      <c r="A33" s="22"/>
      <c r="B33" s="23"/>
      <c r="C33" s="23"/>
      <c r="D33" s="24"/>
      <c r="E33" s="23"/>
    </row>
    <row r="34" spans="1:5">
      <c r="A34" s="22"/>
      <c r="B34" s="23"/>
      <c r="C34" s="23"/>
      <c r="D34" s="24"/>
      <c r="E34" s="23"/>
    </row>
    <row r="35" spans="1:5">
      <c r="A35" s="22"/>
      <c r="B35" s="23"/>
      <c r="C35" s="23"/>
      <c r="D35" s="24"/>
      <c r="E35" s="23"/>
    </row>
    <row r="36" spans="1:5">
      <c r="A36" s="22"/>
      <c r="B36" s="23"/>
      <c r="C36" s="23"/>
      <c r="D36" s="24"/>
      <c r="E36" s="23"/>
    </row>
    <row r="37" spans="1:5">
      <c r="A37" s="22"/>
      <c r="B37" s="23"/>
      <c r="C37" s="23"/>
      <c r="D37" s="24"/>
      <c r="E37" s="23"/>
    </row>
    <row r="38" spans="1:5">
      <c r="A38" s="22"/>
      <c r="B38" s="23"/>
      <c r="C38" s="23"/>
      <c r="D38" s="24"/>
      <c r="E38" s="23"/>
    </row>
    <row r="39" spans="1:5">
      <c r="A39" s="22"/>
      <c r="B39" s="23"/>
      <c r="C39" s="23"/>
      <c r="D39" s="24"/>
      <c r="E39" s="23"/>
    </row>
    <row r="40" spans="1:5">
      <c r="A40" s="22"/>
      <c r="B40" s="23"/>
      <c r="C40" s="23"/>
      <c r="D40" s="24"/>
      <c r="E40" s="23"/>
    </row>
    <row r="41" spans="1:5">
      <c r="A41" s="22"/>
      <c r="B41" s="23"/>
      <c r="C41" s="23"/>
      <c r="D41" s="24"/>
      <c r="E41" s="23"/>
    </row>
    <row r="42" spans="1:5">
      <c r="A42" s="22"/>
      <c r="B42" s="23"/>
      <c r="C42" s="23"/>
      <c r="D42" s="24"/>
      <c r="E42" s="23"/>
    </row>
    <row r="43" spans="1:5">
      <c r="A43" s="22"/>
      <c r="B43" s="23"/>
      <c r="C43" s="23"/>
      <c r="D43" s="24"/>
      <c r="E43" s="23"/>
    </row>
  </sheetData>
  <mergeCells count="2">
    <mergeCell ref="A1:E1"/>
    <mergeCell ref="K5:M5"/>
  </mergeCells>
  <dataValidations count="3">
    <dataValidation type="list" allowBlank="1" showInputMessage="1" showErrorMessage="1" sqref="B3:B43" xr:uid="{68A1DA0C-3928-4C5D-854E-03A37A64118C}">
      <formula1>"AAA,AA,A,BBB,BB,B,CCC"</formula1>
    </dataValidation>
    <dataValidation type="list" allowBlank="1" showInputMessage="1" showErrorMessage="1" sqref="C3:C43" xr:uid="{A73499C6-5C6B-41DD-8A4A-F42058FA85D9}">
      <formula1>"Senior Secured, Senior Unsecured, Senior Subordinated, Subordinated, Junior Subordinated"</formula1>
    </dataValidation>
    <dataValidation type="whole" allowBlank="1" showInputMessage="1" showErrorMessage="1" sqref="M7" xr:uid="{47032BDC-D40D-449D-8E39-647880CB3305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pinner 3">
              <controlPr defaultSize="0" autoPict="0">
                <anchor moveWithCells="1" sizeWithCells="1">
                  <from>
                    <xdr:col>10</xdr:col>
                    <xdr:colOff>247650</xdr:colOff>
                    <xdr:row>5</xdr:row>
                    <xdr:rowOff>95250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Random">
                <anchor moveWithCells="1" siz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304800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E885E-86F1-4C34-87AB-267088B27377}">
  <sheetPr codeName="Sheet2">
    <tabColor theme="9" tint="-0.249977111117893"/>
  </sheetPr>
  <dimension ref="A1:U23"/>
  <sheetViews>
    <sheetView tabSelected="1" zoomScale="85" zoomScaleNormal="85" workbookViewId="0">
      <selection activeCell="I29" sqref="I29"/>
    </sheetView>
  </sheetViews>
  <sheetFormatPr defaultRowHeight="15"/>
  <cols>
    <col min="1" max="1" width="10.7109375" style="11" customWidth="1"/>
  </cols>
  <sheetData>
    <row r="1" spans="1:21" ht="23.25" customHeight="1">
      <c r="A1" s="19" t="s">
        <v>40</v>
      </c>
    </row>
    <row r="3" spans="1:21" s="11" customFormat="1">
      <c r="B3" s="11" t="s">
        <v>20</v>
      </c>
      <c r="C3" s="11" t="s">
        <v>21</v>
      </c>
      <c r="D3" s="11" t="s">
        <v>22</v>
      </c>
      <c r="E3" s="11" t="s">
        <v>23</v>
      </c>
      <c r="F3" s="11" t="s">
        <v>24</v>
      </c>
      <c r="G3" s="11" t="s">
        <v>25</v>
      </c>
      <c r="H3" s="11" t="s">
        <v>26</v>
      </c>
      <c r="I3" s="11" t="s">
        <v>27</v>
      </c>
      <c r="J3" s="11" t="s">
        <v>28</v>
      </c>
      <c r="K3" s="11" t="s">
        <v>29</v>
      </c>
      <c r="L3" s="11" t="s">
        <v>30</v>
      </c>
      <c r="M3" s="11" t="s">
        <v>31</v>
      </c>
      <c r="N3" s="11" t="s">
        <v>32</v>
      </c>
      <c r="O3" s="11" t="s">
        <v>33</v>
      </c>
      <c r="P3" s="11" t="s">
        <v>34</v>
      </c>
      <c r="Q3" s="11" t="s">
        <v>35</v>
      </c>
      <c r="R3" s="11" t="s">
        <v>36</v>
      </c>
      <c r="S3" s="11" t="s">
        <v>37</v>
      </c>
      <c r="T3" s="11" t="s">
        <v>38</v>
      </c>
      <c r="U3" s="11" t="s">
        <v>39</v>
      </c>
    </row>
    <row r="4" spans="1:21">
      <c r="A4" s="11" t="s">
        <v>20</v>
      </c>
      <c r="B4" s="17">
        <v>1</v>
      </c>
      <c r="C4">
        <v>0.51300000000000001</v>
      </c>
      <c r="D4">
        <v>0.38100000000000001</v>
      </c>
      <c r="E4">
        <v>0.495</v>
      </c>
      <c r="F4">
        <v>0.49</v>
      </c>
      <c r="G4">
        <v>0.498</v>
      </c>
      <c r="H4">
        <v>-0.39200000000000002</v>
      </c>
      <c r="I4">
        <v>-0.32</v>
      </c>
      <c r="J4">
        <v>0.33500000000000002</v>
      </c>
      <c r="K4">
        <v>-0.255</v>
      </c>
      <c r="L4">
        <v>-0.432</v>
      </c>
      <c r="M4">
        <v>0.34899999999999998</v>
      </c>
      <c r="N4">
        <v>-0.497</v>
      </c>
      <c r="O4">
        <v>0.31900000000000001</v>
      </c>
      <c r="P4">
        <v>0.34799999999999998</v>
      </c>
      <c r="Q4">
        <v>-0.106</v>
      </c>
      <c r="R4">
        <v>0.33200000000000002</v>
      </c>
      <c r="S4">
        <v>0.34599999999999997</v>
      </c>
      <c r="T4">
        <v>0.29299999999999998</v>
      </c>
      <c r="U4">
        <v>-0.27</v>
      </c>
    </row>
    <row r="5" spans="1:21">
      <c r="A5" s="11" t="s">
        <v>21</v>
      </c>
      <c r="B5" s="18">
        <f>C4</f>
        <v>0.51300000000000001</v>
      </c>
      <c r="C5" s="17">
        <v>1</v>
      </c>
      <c r="D5">
        <v>-0.307</v>
      </c>
      <c r="E5">
        <v>0.74</v>
      </c>
      <c r="F5">
        <v>0.67200000000000004</v>
      </c>
      <c r="G5">
        <v>0.36199999999999999</v>
      </c>
      <c r="H5">
        <v>2.1999999999999999E-2</v>
      </c>
      <c r="I5">
        <v>1.2E-2</v>
      </c>
      <c r="J5">
        <v>7.1999999999999995E-2</v>
      </c>
      <c r="K5">
        <v>-0.309</v>
      </c>
      <c r="L5">
        <v>-0.35299999999999998</v>
      </c>
      <c r="M5">
        <v>0.26300000000000001</v>
      </c>
      <c r="N5">
        <v>-0.34799999999999998</v>
      </c>
      <c r="O5">
        <v>-1.7999999999999999E-2</v>
      </c>
      <c r="P5">
        <v>0.41799999999999998</v>
      </c>
      <c r="Q5">
        <v>8.7999999999999995E-2</v>
      </c>
      <c r="R5">
        <v>-9.1999999999999998E-2</v>
      </c>
      <c r="S5">
        <v>0.20499999999999999</v>
      </c>
      <c r="T5">
        <v>4.2999999999999997E-2</v>
      </c>
      <c r="U5">
        <v>-0.42499999999999999</v>
      </c>
    </row>
    <row r="6" spans="1:21">
      <c r="A6" s="11" t="s">
        <v>22</v>
      </c>
      <c r="B6" s="18">
        <f>D4</f>
        <v>0.38100000000000001</v>
      </c>
      <c r="C6" s="18">
        <f>D5</f>
        <v>-0.307</v>
      </c>
      <c r="D6" s="17">
        <v>1</v>
      </c>
      <c r="E6">
        <v>-0.16600000000000001</v>
      </c>
      <c r="F6">
        <v>0.152</v>
      </c>
      <c r="G6">
        <v>-1.2E-2</v>
      </c>
      <c r="H6">
        <v>0.04</v>
      </c>
      <c r="I6">
        <v>-0.20899999999999999</v>
      </c>
      <c r="J6">
        <v>-0.15</v>
      </c>
      <c r="K6">
        <v>-0.127</v>
      </c>
      <c r="L6">
        <v>6.0000000000000001E-3</v>
      </c>
      <c r="M6">
        <v>0.35399999999999998</v>
      </c>
      <c r="N6">
        <v>-0.14899999999999999</v>
      </c>
      <c r="O6">
        <v>2.8000000000000001E-2</v>
      </c>
      <c r="P6">
        <v>-0.185</v>
      </c>
      <c r="Q6">
        <v>-0.26100000000000001</v>
      </c>
      <c r="R6">
        <v>0.25600000000000001</v>
      </c>
      <c r="S6">
        <v>0.34599999999999997</v>
      </c>
      <c r="T6">
        <v>0.23400000000000001</v>
      </c>
      <c r="U6">
        <v>6.0000000000000001E-3</v>
      </c>
    </row>
    <row r="7" spans="1:21">
      <c r="A7" s="11" t="s">
        <v>23</v>
      </c>
      <c r="B7" s="18">
        <f>E4</f>
        <v>0.495</v>
      </c>
      <c r="C7" s="18">
        <f>E5</f>
        <v>0.74</v>
      </c>
      <c r="D7" s="18">
        <f>E6</f>
        <v>-0.16600000000000001</v>
      </c>
      <c r="E7" s="17">
        <v>1</v>
      </c>
      <c r="F7">
        <v>0.42199999999999999</v>
      </c>
      <c r="G7">
        <v>0.624</v>
      </c>
      <c r="H7">
        <v>0.16700000000000001</v>
      </c>
      <c r="I7">
        <v>0.22800000000000001</v>
      </c>
      <c r="J7">
        <v>-0.186</v>
      </c>
      <c r="K7">
        <v>-0.36299999999999999</v>
      </c>
      <c r="L7">
        <v>-4.0000000000000001E-3</v>
      </c>
      <c r="M7">
        <v>0.38500000000000001</v>
      </c>
      <c r="N7">
        <v>-0.26</v>
      </c>
      <c r="O7">
        <v>-8.2000000000000003E-2</v>
      </c>
      <c r="P7">
        <v>0.29799999999999999</v>
      </c>
      <c r="Q7">
        <v>-1.9E-2</v>
      </c>
      <c r="R7">
        <v>-7.8E-2</v>
      </c>
      <c r="S7">
        <v>0.245</v>
      </c>
      <c r="T7">
        <v>-0.14199999999999999</v>
      </c>
      <c r="U7">
        <v>-0.315</v>
      </c>
    </row>
    <row r="8" spans="1:21">
      <c r="A8" s="11" t="s">
        <v>24</v>
      </c>
      <c r="B8" s="18">
        <f>F4</f>
        <v>0.49</v>
      </c>
      <c r="C8" s="18">
        <f>F5</f>
        <v>0.67200000000000004</v>
      </c>
      <c r="D8" s="18">
        <f>F6</f>
        <v>0.152</v>
      </c>
      <c r="E8" s="18">
        <f>F7</f>
        <v>0.42199999999999999</v>
      </c>
      <c r="F8" s="17">
        <v>1</v>
      </c>
      <c r="G8">
        <v>-0.08</v>
      </c>
      <c r="H8">
        <v>-0.14000000000000001</v>
      </c>
      <c r="I8">
        <v>-0.35499999999999998</v>
      </c>
      <c r="J8">
        <v>5.5E-2</v>
      </c>
      <c r="K8">
        <v>-3.6999999999999998E-2</v>
      </c>
      <c r="L8">
        <v>-0.45800000000000002</v>
      </c>
      <c r="M8">
        <v>0.53800000000000003</v>
      </c>
      <c r="N8">
        <v>-0.317</v>
      </c>
      <c r="O8">
        <v>5.2999999999999999E-2</v>
      </c>
      <c r="P8">
        <v>0.36599999999999999</v>
      </c>
      <c r="Q8">
        <v>0.19</v>
      </c>
      <c r="R8">
        <v>6.4000000000000001E-2</v>
      </c>
      <c r="S8">
        <v>0.41499999999999998</v>
      </c>
      <c r="T8">
        <v>0.30199999999999999</v>
      </c>
      <c r="U8">
        <v>-0.51500000000000001</v>
      </c>
    </row>
    <row r="9" spans="1:21">
      <c r="A9" s="11" t="s">
        <v>25</v>
      </c>
      <c r="B9" s="18">
        <f>G4</f>
        <v>0.498</v>
      </c>
      <c r="C9" s="18">
        <f>G5</f>
        <v>0.36199999999999999</v>
      </c>
      <c r="D9" s="18">
        <f>G6</f>
        <v>-1.2E-2</v>
      </c>
      <c r="E9" s="18">
        <f>G7</f>
        <v>0.624</v>
      </c>
      <c r="F9" s="18">
        <f>G8</f>
        <v>-0.08</v>
      </c>
      <c r="G9" s="17">
        <v>1</v>
      </c>
      <c r="H9">
        <v>2.3E-2</v>
      </c>
      <c r="I9">
        <v>0.438</v>
      </c>
      <c r="J9">
        <v>-0.1</v>
      </c>
      <c r="K9">
        <v>-0.60599999999999998</v>
      </c>
      <c r="L9">
        <v>0.125</v>
      </c>
      <c r="M9">
        <v>4.9000000000000002E-2</v>
      </c>
      <c r="N9">
        <v>-0.248</v>
      </c>
      <c r="O9">
        <v>-0.106</v>
      </c>
      <c r="P9">
        <v>4.4999999999999998E-2</v>
      </c>
      <c r="Q9">
        <v>-0.17</v>
      </c>
      <c r="R9">
        <v>6.0000000000000001E-3</v>
      </c>
      <c r="S9">
        <v>-3.0000000000000001E-3</v>
      </c>
      <c r="T9">
        <v>-0.255</v>
      </c>
      <c r="U9">
        <v>2.4E-2</v>
      </c>
    </row>
    <row r="10" spans="1:21">
      <c r="A10" s="11" t="s">
        <v>26</v>
      </c>
      <c r="B10" s="18">
        <f>H4</f>
        <v>-0.39200000000000002</v>
      </c>
      <c r="C10" s="18">
        <f>H5</f>
        <v>2.1999999999999999E-2</v>
      </c>
      <c r="D10" s="18">
        <f>H6</f>
        <v>0.04</v>
      </c>
      <c r="E10" s="18">
        <f>H7</f>
        <v>0.16700000000000001</v>
      </c>
      <c r="F10" s="18">
        <f>H8</f>
        <v>-0.14000000000000001</v>
      </c>
      <c r="G10" s="18">
        <f>H9</f>
        <v>2.3E-2</v>
      </c>
      <c r="H10" s="17">
        <v>1</v>
      </c>
      <c r="I10">
        <v>0.58799999999999997</v>
      </c>
      <c r="J10">
        <v>-0.59099999999999997</v>
      </c>
      <c r="K10">
        <v>2E-3</v>
      </c>
      <c r="L10">
        <v>0.36799999999999999</v>
      </c>
      <c r="M10">
        <v>3.4000000000000002E-2</v>
      </c>
      <c r="N10">
        <v>-0.10199999999999999</v>
      </c>
      <c r="O10">
        <v>-0.623</v>
      </c>
      <c r="P10">
        <v>-7.9000000000000001E-2</v>
      </c>
      <c r="Q10">
        <v>4.7E-2</v>
      </c>
      <c r="R10">
        <v>-0.28899999999999998</v>
      </c>
      <c r="S10">
        <v>0.17100000000000001</v>
      </c>
      <c r="T10">
        <v>-0.42</v>
      </c>
      <c r="U10">
        <v>-0.127</v>
      </c>
    </row>
    <row r="11" spans="1:21">
      <c r="A11" s="11" t="s">
        <v>27</v>
      </c>
      <c r="B11" s="18">
        <f>I4</f>
        <v>-0.32</v>
      </c>
      <c r="C11" s="18">
        <f>I5</f>
        <v>1.2E-2</v>
      </c>
      <c r="D11" s="18">
        <f>I6</f>
        <v>-0.20899999999999999</v>
      </c>
      <c r="E11" s="18">
        <f>I7</f>
        <v>0.22800000000000001</v>
      </c>
      <c r="F11" s="18">
        <f>I8</f>
        <v>-0.35499999999999998</v>
      </c>
      <c r="G11" s="18">
        <f>I9</f>
        <v>0.438</v>
      </c>
      <c r="H11" s="18">
        <f>I10</f>
        <v>0.58799999999999997</v>
      </c>
      <c r="I11" s="17">
        <v>1</v>
      </c>
      <c r="J11">
        <v>-0.60699999999999998</v>
      </c>
      <c r="K11">
        <v>-0.13300000000000001</v>
      </c>
      <c r="L11">
        <v>0.66</v>
      </c>
      <c r="M11">
        <v>-0.308</v>
      </c>
      <c r="N11">
        <v>0.30099999999999999</v>
      </c>
      <c r="O11">
        <v>-0.48199999999999998</v>
      </c>
      <c r="P11">
        <v>-0.02</v>
      </c>
      <c r="Q11">
        <v>0.14699999999999999</v>
      </c>
      <c r="R11">
        <v>-0.439</v>
      </c>
      <c r="S11">
        <v>7.0000000000000007E-2</v>
      </c>
      <c r="T11">
        <v>-0.34499999999999997</v>
      </c>
      <c r="U11">
        <v>0.23100000000000001</v>
      </c>
    </row>
    <row r="12" spans="1:21">
      <c r="A12" s="11" t="s">
        <v>28</v>
      </c>
      <c r="B12" s="18">
        <f>J4</f>
        <v>0.33500000000000002</v>
      </c>
      <c r="C12" s="18">
        <f>J5</f>
        <v>7.1999999999999995E-2</v>
      </c>
      <c r="D12" s="18">
        <f>J6</f>
        <v>-0.15</v>
      </c>
      <c r="E12" s="18">
        <f>J7</f>
        <v>-0.186</v>
      </c>
      <c r="F12" s="18">
        <f>J8</f>
        <v>5.5E-2</v>
      </c>
      <c r="G12" s="18">
        <f>J9</f>
        <v>-0.1</v>
      </c>
      <c r="H12" s="18">
        <f>J10</f>
        <v>-0.59099999999999997</v>
      </c>
      <c r="I12" s="18">
        <f>J11</f>
        <v>-0.60699999999999998</v>
      </c>
      <c r="J12" s="17">
        <v>1</v>
      </c>
      <c r="K12">
        <v>0.17599999999999999</v>
      </c>
      <c r="L12">
        <v>-0.45900000000000002</v>
      </c>
      <c r="M12">
        <v>-0.246</v>
      </c>
      <c r="N12">
        <v>-0.30399999999999999</v>
      </c>
      <c r="O12">
        <v>0.245</v>
      </c>
      <c r="P12">
        <v>0.316</v>
      </c>
      <c r="Q12">
        <v>-0.13</v>
      </c>
      <c r="R12">
        <v>0.113</v>
      </c>
      <c r="S12">
        <v>-0.14899999999999999</v>
      </c>
      <c r="T12">
        <v>0.35499999999999998</v>
      </c>
      <c r="U12">
        <v>6.3E-2</v>
      </c>
    </row>
    <row r="13" spans="1:21">
      <c r="A13" s="11" t="s">
        <v>29</v>
      </c>
      <c r="B13" s="18">
        <f>K4</f>
        <v>-0.255</v>
      </c>
      <c r="C13" s="18">
        <f>K5</f>
        <v>-0.309</v>
      </c>
      <c r="D13" s="18">
        <f>K6</f>
        <v>-0.127</v>
      </c>
      <c r="E13" s="18">
        <f>K7</f>
        <v>-0.36299999999999999</v>
      </c>
      <c r="F13" s="18">
        <f>K8</f>
        <v>-3.6999999999999998E-2</v>
      </c>
      <c r="G13" s="18">
        <f>K9</f>
        <v>-0.60599999999999998</v>
      </c>
      <c r="H13" s="18">
        <f>K10</f>
        <v>2E-3</v>
      </c>
      <c r="I13" s="18">
        <f>K11</f>
        <v>-0.13300000000000001</v>
      </c>
      <c r="J13" s="18">
        <f>K12</f>
        <v>0.17599999999999999</v>
      </c>
      <c r="K13" s="17">
        <v>1</v>
      </c>
      <c r="L13">
        <v>0.1</v>
      </c>
      <c r="M13">
        <v>-0.08</v>
      </c>
      <c r="N13">
        <v>8.4000000000000005E-2</v>
      </c>
      <c r="O13">
        <v>-7.9000000000000001E-2</v>
      </c>
      <c r="P13">
        <v>0.10199999999999999</v>
      </c>
      <c r="Q13">
        <v>0.248</v>
      </c>
      <c r="R13">
        <v>-2.3E-2</v>
      </c>
      <c r="S13">
        <v>0.11700000000000001</v>
      </c>
      <c r="T13">
        <v>6.5000000000000002E-2</v>
      </c>
      <c r="U13">
        <v>-0.152</v>
      </c>
    </row>
    <row r="14" spans="1:21">
      <c r="A14" s="11" t="s">
        <v>30</v>
      </c>
      <c r="B14" s="18">
        <f>L4</f>
        <v>-0.432</v>
      </c>
      <c r="C14" s="18">
        <f>L5</f>
        <v>-0.35299999999999998</v>
      </c>
      <c r="D14" s="18">
        <f>L6</f>
        <v>6.0000000000000001E-3</v>
      </c>
      <c r="E14" s="18">
        <f>L7</f>
        <v>-4.0000000000000001E-3</v>
      </c>
      <c r="F14" s="18">
        <f>L8</f>
        <v>-0.45800000000000002</v>
      </c>
      <c r="G14" s="18">
        <f>L9</f>
        <v>0.125</v>
      </c>
      <c r="H14" s="18">
        <f>L10</f>
        <v>0.36799999999999999</v>
      </c>
      <c r="I14" s="18">
        <f>L11</f>
        <v>0.66</v>
      </c>
      <c r="J14" s="18">
        <f>L12</f>
        <v>-0.45900000000000002</v>
      </c>
      <c r="K14" s="18">
        <f>L13</f>
        <v>0.1</v>
      </c>
      <c r="L14" s="17">
        <v>1</v>
      </c>
      <c r="M14">
        <v>-0.02</v>
      </c>
      <c r="N14">
        <v>0.443</v>
      </c>
      <c r="O14">
        <v>-0.45900000000000002</v>
      </c>
      <c r="P14">
        <v>-0.41199999999999998</v>
      </c>
      <c r="Q14">
        <v>0.03</v>
      </c>
      <c r="R14">
        <v>-0.49099999999999999</v>
      </c>
      <c r="S14">
        <v>-0.20100000000000001</v>
      </c>
      <c r="T14">
        <v>-0.14199999999999999</v>
      </c>
      <c r="U14">
        <v>0.46899999999999997</v>
      </c>
    </row>
    <row r="15" spans="1:21">
      <c r="A15" s="11" t="s">
        <v>31</v>
      </c>
      <c r="B15" s="18">
        <f>M4</f>
        <v>0.34899999999999998</v>
      </c>
      <c r="C15" s="18">
        <f>M5</f>
        <v>0.26300000000000001</v>
      </c>
      <c r="D15" s="18">
        <f>M6</f>
        <v>0.35399999999999998</v>
      </c>
      <c r="E15" s="18">
        <f>M7</f>
        <v>0.38500000000000001</v>
      </c>
      <c r="F15" s="18">
        <f>M8</f>
        <v>0.53800000000000003</v>
      </c>
      <c r="G15" s="18">
        <f>M9</f>
        <v>4.9000000000000002E-2</v>
      </c>
      <c r="H15" s="18">
        <f>M10</f>
        <v>3.4000000000000002E-2</v>
      </c>
      <c r="I15" s="18">
        <f>M11</f>
        <v>-0.308</v>
      </c>
      <c r="J15" s="18">
        <f>M12</f>
        <v>-0.246</v>
      </c>
      <c r="K15" s="18">
        <f>M13</f>
        <v>-0.08</v>
      </c>
      <c r="L15" s="18">
        <f>M14</f>
        <v>-0.02</v>
      </c>
      <c r="M15" s="17">
        <v>1</v>
      </c>
      <c r="N15">
        <v>-0.31900000000000001</v>
      </c>
      <c r="O15">
        <v>-8.2000000000000003E-2</v>
      </c>
      <c r="P15">
        <v>-0.29199999999999998</v>
      </c>
      <c r="Q15">
        <v>-6.6000000000000003E-2</v>
      </c>
      <c r="R15">
        <v>5.8000000000000003E-2</v>
      </c>
      <c r="S15">
        <v>5.6000000000000001E-2</v>
      </c>
      <c r="T15">
        <v>0.105</v>
      </c>
      <c r="U15">
        <v>-0.40899999999999997</v>
      </c>
    </row>
    <row r="16" spans="1:21">
      <c r="A16" s="11" t="s">
        <v>32</v>
      </c>
      <c r="B16" s="18">
        <f>N4</f>
        <v>-0.497</v>
      </c>
      <c r="C16" s="18">
        <f>N5</f>
        <v>-0.34799999999999998</v>
      </c>
      <c r="D16" s="18">
        <f>N6</f>
        <v>-0.14899999999999999</v>
      </c>
      <c r="E16" s="18">
        <f>N7</f>
        <v>-0.26</v>
      </c>
      <c r="F16" s="18">
        <f>N8</f>
        <v>-0.317</v>
      </c>
      <c r="G16" s="18">
        <f>N9</f>
        <v>-0.248</v>
      </c>
      <c r="H16" s="18">
        <f>N10</f>
        <v>-0.10199999999999999</v>
      </c>
      <c r="I16" s="18">
        <f>N11</f>
        <v>0.30099999999999999</v>
      </c>
      <c r="J16" s="18">
        <f>N12</f>
        <v>-0.30399999999999999</v>
      </c>
      <c r="K16" s="18">
        <f>N13</f>
        <v>8.4000000000000005E-2</v>
      </c>
      <c r="L16" s="18">
        <f>N14</f>
        <v>0.443</v>
      </c>
      <c r="M16" s="18">
        <f>N15</f>
        <v>-0.31900000000000001</v>
      </c>
      <c r="N16" s="17">
        <v>1</v>
      </c>
      <c r="O16">
        <v>0.24399999999999999</v>
      </c>
      <c r="P16">
        <v>-0.23499999999999999</v>
      </c>
      <c r="Q16">
        <v>-0.01</v>
      </c>
      <c r="R16">
        <v>-0.311</v>
      </c>
      <c r="S16">
        <v>-0.03</v>
      </c>
      <c r="T16">
        <v>-0.114</v>
      </c>
      <c r="U16">
        <v>0.39700000000000002</v>
      </c>
    </row>
    <row r="17" spans="1:21">
      <c r="A17" s="11" t="s">
        <v>33</v>
      </c>
      <c r="B17" s="18">
        <f>O4</f>
        <v>0.31900000000000001</v>
      </c>
      <c r="C17" s="18">
        <f>O5</f>
        <v>-1.7999999999999999E-2</v>
      </c>
      <c r="D17" s="18">
        <f>O6</f>
        <v>2.8000000000000001E-2</v>
      </c>
      <c r="E17" s="18">
        <f>O7</f>
        <v>-8.2000000000000003E-2</v>
      </c>
      <c r="F17" s="18">
        <f>O8</f>
        <v>5.2999999999999999E-2</v>
      </c>
      <c r="G17" s="18">
        <f>O9</f>
        <v>-0.106</v>
      </c>
      <c r="H17" s="18">
        <f>O10</f>
        <v>-0.623</v>
      </c>
      <c r="I17" s="18">
        <f>O11</f>
        <v>-0.48199999999999998</v>
      </c>
      <c r="J17" s="18">
        <f>O12</f>
        <v>0.245</v>
      </c>
      <c r="K17" s="18">
        <f>O13</f>
        <v>-7.9000000000000001E-2</v>
      </c>
      <c r="L17" s="18">
        <f>O14</f>
        <v>-0.45900000000000002</v>
      </c>
      <c r="M17" s="18">
        <f>O15</f>
        <v>-8.2000000000000003E-2</v>
      </c>
      <c r="N17" s="18">
        <f>O16</f>
        <v>0.24399999999999999</v>
      </c>
      <c r="O17" s="17">
        <v>1</v>
      </c>
      <c r="P17">
        <v>3.3000000000000002E-2</v>
      </c>
      <c r="Q17">
        <v>-3.6999999999999998E-2</v>
      </c>
      <c r="R17">
        <v>0.47799999999999998</v>
      </c>
      <c r="S17">
        <v>3.9E-2</v>
      </c>
      <c r="T17">
        <v>0.19600000000000001</v>
      </c>
      <c r="U17">
        <v>-2.5000000000000001E-2</v>
      </c>
    </row>
    <row r="18" spans="1:21">
      <c r="A18" s="11" t="s">
        <v>34</v>
      </c>
      <c r="B18" s="18">
        <f>P4</f>
        <v>0.34799999999999998</v>
      </c>
      <c r="C18" s="18">
        <f>P5</f>
        <v>0.41799999999999998</v>
      </c>
      <c r="D18" s="18">
        <f>P6</f>
        <v>-0.185</v>
      </c>
      <c r="E18" s="18">
        <f>P7</f>
        <v>0.29799999999999999</v>
      </c>
      <c r="F18" s="18">
        <f>P8</f>
        <v>0.36599999999999999</v>
      </c>
      <c r="G18" s="18">
        <f>P9</f>
        <v>4.4999999999999998E-2</v>
      </c>
      <c r="H18" s="18">
        <f>P10</f>
        <v>-7.9000000000000001E-2</v>
      </c>
      <c r="I18" s="18">
        <f>P11</f>
        <v>-0.02</v>
      </c>
      <c r="J18" s="18">
        <f>P12</f>
        <v>0.316</v>
      </c>
      <c r="K18" s="18">
        <f>P13</f>
        <v>0.10199999999999999</v>
      </c>
      <c r="L18" s="18">
        <f>P14</f>
        <v>-0.41199999999999998</v>
      </c>
      <c r="M18" s="18">
        <f>P15</f>
        <v>-0.29199999999999998</v>
      </c>
      <c r="N18" s="18">
        <f>P16</f>
        <v>-0.23499999999999999</v>
      </c>
      <c r="O18" s="18">
        <f>P17</f>
        <v>3.3000000000000002E-2</v>
      </c>
      <c r="P18" s="17">
        <v>1</v>
      </c>
      <c r="Q18">
        <v>0.27400000000000002</v>
      </c>
      <c r="R18">
        <v>-9.1999999999999998E-2</v>
      </c>
      <c r="S18">
        <v>0.53400000000000003</v>
      </c>
      <c r="T18">
        <v>0.22500000000000001</v>
      </c>
      <c r="U18">
        <v>-2.1999999999999999E-2</v>
      </c>
    </row>
    <row r="19" spans="1:21">
      <c r="A19" s="11" t="s">
        <v>35</v>
      </c>
      <c r="B19" s="18">
        <f>Q4</f>
        <v>-0.106</v>
      </c>
      <c r="C19" s="18">
        <f>Q5</f>
        <v>8.7999999999999995E-2</v>
      </c>
      <c r="D19" s="18">
        <f>Q6</f>
        <v>-0.26100000000000001</v>
      </c>
      <c r="E19" s="18">
        <f>Q7</f>
        <v>-1.9E-2</v>
      </c>
      <c r="F19" s="18">
        <f>Q8</f>
        <v>0.19</v>
      </c>
      <c r="G19" s="18">
        <f>Q9</f>
        <v>-0.17</v>
      </c>
      <c r="H19" s="18">
        <f>Q10</f>
        <v>4.7E-2</v>
      </c>
      <c r="I19" s="18">
        <f>Q11</f>
        <v>0.14699999999999999</v>
      </c>
      <c r="J19" s="18">
        <f>Q12</f>
        <v>-0.13</v>
      </c>
      <c r="K19" s="18">
        <f>Q13</f>
        <v>0.248</v>
      </c>
      <c r="L19" s="18">
        <f>Q14</f>
        <v>0.03</v>
      </c>
      <c r="M19" s="18">
        <f>Q15</f>
        <v>-6.6000000000000003E-2</v>
      </c>
      <c r="N19" s="18">
        <f>Q16</f>
        <v>-0.01</v>
      </c>
      <c r="O19" s="18">
        <f>Q17</f>
        <v>-3.6999999999999998E-2</v>
      </c>
      <c r="P19" s="18">
        <f>Q18</f>
        <v>0.27400000000000002</v>
      </c>
      <c r="Q19" s="17">
        <v>1</v>
      </c>
      <c r="R19">
        <v>-4.5999999999999999E-2</v>
      </c>
      <c r="S19">
        <v>0.23499999999999999</v>
      </c>
      <c r="T19">
        <v>8.9999999999999993E-3</v>
      </c>
      <c r="U19">
        <v>1.0999999999999999E-2</v>
      </c>
    </row>
    <row r="20" spans="1:21">
      <c r="A20" s="11" t="s">
        <v>36</v>
      </c>
      <c r="B20" s="18">
        <f>R4</f>
        <v>0.33200000000000002</v>
      </c>
      <c r="C20" s="18">
        <f>R5</f>
        <v>-9.1999999999999998E-2</v>
      </c>
      <c r="D20" s="18">
        <f>R6</f>
        <v>0.25600000000000001</v>
      </c>
      <c r="E20" s="18">
        <f>R7</f>
        <v>-7.8E-2</v>
      </c>
      <c r="F20" s="18">
        <f>R8</f>
        <v>6.4000000000000001E-2</v>
      </c>
      <c r="G20" s="18">
        <f>R9</f>
        <v>6.0000000000000001E-3</v>
      </c>
      <c r="H20" s="18">
        <f>R10</f>
        <v>-0.28899999999999998</v>
      </c>
      <c r="I20" s="18">
        <f>R11</f>
        <v>-0.439</v>
      </c>
      <c r="J20" s="18">
        <f>R12</f>
        <v>0.113</v>
      </c>
      <c r="K20" s="18">
        <f>R13</f>
        <v>-2.3E-2</v>
      </c>
      <c r="L20" s="18">
        <f>R14</f>
        <v>-0.49099999999999999</v>
      </c>
      <c r="M20" s="18">
        <f>R15</f>
        <v>5.8000000000000003E-2</v>
      </c>
      <c r="N20" s="18">
        <f>R16</f>
        <v>-0.311</v>
      </c>
      <c r="O20" s="18">
        <f>R17</f>
        <v>0.47799999999999998</v>
      </c>
      <c r="P20" s="18">
        <f>R18</f>
        <v>-9.1999999999999998E-2</v>
      </c>
      <c r="Q20" s="18">
        <f>R19</f>
        <v>-4.5999999999999999E-2</v>
      </c>
      <c r="R20" s="17">
        <v>1</v>
      </c>
      <c r="S20">
        <v>-0.123</v>
      </c>
      <c r="T20">
        <v>3.4000000000000002E-2</v>
      </c>
      <c r="U20">
        <v>-0.48799999999999999</v>
      </c>
    </row>
    <row r="21" spans="1:21">
      <c r="A21" s="11" t="s">
        <v>37</v>
      </c>
      <c r="B21" s="18">
        <f>S4</f>
        <v>0.34599999999999997</v>
      </c>
      <c r="C21" s="18">
        <f>S5</f>
        <v>0.20499999999999999</v>
      </c>
      <c r="D21" s="18">
        <f>S6</f>
        <v>0.34599999999999997</v>
      </c>
      <c r="E21" s="18">
        <f>S7</f>
        <v>0.245</v>
      </c>
      <c r="F21" s="18">
        <f>S8</f>
        <v>0.41499999999999998</v>
      </c>
      <c r="G21" s="18">
        <f>S9</f>
        <v>-3.0000000000000001E-3</v>
      </c>
      <c r="H21" s="18">
        <f>S10</f>
        <v>0.17100000000000001</v>
      </c>
      <c r="I21" s="18">
        <f>S11</f>
        <v>7.0000000000000007E-2</v>
      </c>
      <c r="J21" s="18">
        <f>S12</f>
        <v>-0.14899999999999999</v>
      </c>
      <c r="K21" s="18">
        <f>S13</f>
        <v>0.11700000000000001</v>
      </c>
      <c r="L21" s="18">
        <f>S14</f>
        <v>-0.20100000000000001</v>
      </c>
      <c r="M21" s="18">
        <f>S15</f>
        <v>5.6000000000000001E-2</v>
      </c>
      <c r="N21" s="18">
        <f>S16</f>
        <v>-0.03</v>
      </c>
      <c r="O21" s="18">
        <f>S17</f>
        <v>3.9E-2</v>
      </c>
      <c r="P21" s="18">
        <f>S18</f>
        <v>0.53400000000000003</v>
      </c>
      <c r="Q21" s="18">
        <f>S19</f>
        <v>0.23499999999999999</v>
      </c>
      <c r="R21" s="18">
        <f>S20</f>
        <v>-0.123</v>
      </c>
      <c r="S21" s="17">
        <v>1</v>
      </c>
      <c r="T21">
        <v>-8.6999999999999994E-2</v>
      </c>
      <c r="U21">
        <v>-0.107</v>
      </c>
    </row>
    <row r="22" spans="1:21">
      <c r="A22" s="11" t="s">
        <v>38</v>
      </c>
      <c r="B22" s="18">
        <f>T4</f>
        <v>0.29299999999999998</v>
      </c>
      <c r="C22" s="18">
        <f>T5</f>
        <v>4.2999999999999997E-2</v>
      </c>
      <c r="D22" s="18">
        <f>T6</f>
        <v>0.23400000000000001</v>
      </c>
      <c r="E22" s="18">
        <f>T7</f>
        <v>-0.14199999999999999</v>
      </c>
      <c r="F22" s="18">
        <f>T8</f>
        <v>0.30199999999999999</v>
      </c>
      <c r="G22" s="18">
        <f>T9</f>
        <v>-0.255</v>
      </c>
      <c r="H22" s="18">
        <f>T10</f>
        <v>-0.42</v>
      </c>
      <c r="I22" s="18">
        <f>T11</f>
        <v>-0.34499999999999997</v>
      </c>
      <c r="J22" s="18">
        <f>T12</f>
        <v>0.35499999999999998</v>
      </c>
      <c r="K22" s="18">
        <f>T13</f>
        <v>6.5000000000000002E-2</v>
      </c>
      <c r="L22" s="18">
        <f>T14</f>
        <v>-0.14199999999999999</v>
      </c>
      <c r="M22" s="18">
        <f>T15</f>
        <v>0.105</v>
      </c>
      <c r="N22" s="18">
        <f>T16</f>
        <v>-0.114</v>
      </c>
      <c r="O22" s="18">
        <f>T17</f>
        <v>0.19600000000000001</v>
      </c>
      <c r="P22" s="18">
        <f>T18</f>
        <v>0.22500000000000001</v>
      </c>
      <c r="Q22" s="18">
        <f>T19</f>
        <v>8.9999999999999993E-3</v>
      </c>
      <c r="R22" s="18">
        <f>T20</f>
        <v>3.4000000000000002E-2</v>
      </c>
      <c r="S22" s="18">
        <f>T21</f>
        <v>-8.6999999999999994E-2</v>
      </c>
      <c r="T22" s="17">
        <v>1</v>
      </c>
      <c r="U22">
        <v>8.8999999999999996E-2</v>
      </c>
    </row>
    <row r="23" spans="1:21">
      <c r="A23" s="11" t="s">
        <v>39</v>
      </c>
      <c r="B23" s="18">
        <f>U4</f>
        <v>-0.27</v>
      </c>
      <c r="C23" s="18">
        <f>U5</f>
        <v>-0.42499999999999999</v>
      </c>
      <c r="D23" s="18">
        <f>U6</f>
        <v>6.0000000000000001E-3</v>
      </c>
      <c r="E23" s="18">
        <f>U7</f>
        <v>-0.315</v>
      </c>
      <c r="F23" s="18">
        <f>U8</f>
        <v>-0.51500000000000001</v>
      </c>
      <c r="G23" s="18">
        <f>U9</f>
        <v>2.4E-2</v>
      </c>
      <c r="H23" s="18">
        <f>U10</f>
        <v>-0.127</v>
      </c>
      <c r="I23" s="18">
        <f>U11</f>
        <v>0.23100000000000001</v>
      </c>
      <c r="J23" s="18">
        <f>U12</f>
        <v>6.3E-2</v>
      </c>
      <c r="K23" s="18">
        <f>U13</f>
        <v>-0.152</v>
      </c>
      <c r="L23" s="18">
        <f>U14</f>
        <v>0.46899999999999997</v>
      </c>
      <c r="M23" s="18">
        <f>U15</f>
        <v>-0.40899999999999997</v>
      </c>
      <c r="N23" s="18">
        <f>U16</f>
        <v>0.39700000000000002</v>
      </c>
      <c r="O23" s="18">
        <f>U17</f>
        <v>-2.5000000000000001E-2</v>
      </c>
      <c r="P23" s="18">
        <f>U18</f>
        <v>-2.1999999999999999E-2</v>
      </c>
      <c r="Q23" s="18">
        <f>U19</f>
        <v>1.0999999999999999E-2</v>
      </c>
      <c r="R23" s="18">
        <f>U20</f>
        <v>-0.48799999999999999</v>
      </c>
      <c r="S23" s="18">
        <f>U21</f>
        <v>-0.107</v>
      </c>
      <c r="T23" s="18">
        <f>U22</f>
        <v>8.8999999999999996E-2</v>
      </c>
      <c r="U23" s="17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te_Corr">
                <anchor moveWithCells="1" sizeWithCells="1">
                  <from>
                    <xdr:col>3</xdr:col>
                    <xdr:colOff>342900</xdr:colOff>
                    <xdr:row>0</xdr:row>
                    <xdr:rowOff>123825</xdr:rowOff>
                  </from>
                  <to>
                    <xdr:col>4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rintRandomCorrelationMatrix">
                <anchor moveWithCells="1" sizeWithCells="1">
                  <from>
                    <xdr:col>5</xdr:col>
                    <xdr:colOff>76200</xdr:colOff>
                    <xdr:row>0</xdr:row>
                    <xdr:rowOff>104775</xdr:rowOff>
                  </from>
                  <to>
                    <xdr:col>6</xdr:col>
                    <xdr:colOff>314325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D8CE-08D8-4283-8B63-CD776C5C2486}">
  <sheetPr codeName="Sheet3">
    <tabColor theme="5" tint="0.39997558519241921"/>
  </sheetPr>
  <dimension ref="A1:I9"/>
  <sheetViews>
    <sheetView zoomScale="115" zoomScaleNormal="115" workbookViewId="0">
      <selection activeCell="F32" sqref="F32"/>
    </sheetView>
  </sheetViews>
  <sheetFormatPr defaultRowHeight="15"/>
  <cols>
    <col min="9" max="9" width="10.28515625" bestFit="1" customWidth="1"/>
  </cols>
  <sheetData>
    <row r="1" spans="1:9" ht="27.75" customHeight="1">
      <c r="A1" s="30" t="s">
        <v>41</v>
      </c>
      <c r="B1" s="25"/>
      <c r="C1" s="26"/>
      <c r="D1" s="25"/>
      <c r="E1" s="25"/>
      <c r="F1" s="25"/>
      <c r="G1" s="25"/>
      <c r="H1" s="25"/>
      <c r="I1" s="25"/>
    </row>
    <row r="2" spans="1:9" ht="15.75">
      <c r="A2" s="27"/>
      <c r="B2" s="29" t="s">
        <v>8</v>
      </c>
      <c r="C2" s="29" t="s">
        <v>13</v>
      </c>
      <c r="D2" s="29" t="s">
        <v>14</v>
      </c>
      <c r="E2" s="29" t="s">
        <v>10</v>
      </c>
      <c r="F2" s="29" t="s">
        <v>9</v>
      </c>
      <c r="G2" s="29" t="s">
        <v>11</v>
      </c>
      <c r="H2" s="29" t="s">
        <v>12</v>
      </c>
      <c r="I2" s="29" t="s">
        <v>44</v>
      </c>
    </row>
    <row r="3" spans="1:9" ht="15.75">
      <c r="A3" s="29" t="s">
        <v>8</v>
      </c>
      <c r="B3" s="28">
        <v>0.90810000000000002</v>
      </c>
      <c r="C3" s="28">
        <v>8.3299999999999999E-2</v>
      </c>
      <c r="D3" s="28">
        <v>6.7999999999999996E-3</v>
      </c>
      <c r="E3" s="28">
        <v>5.9999999999999995E-4</v>
      </c>
      <c r="F3" s="28">
        <v>1.1999999999999999E-3</v>
      </c>
      <c r="G3" s="28">
        <v>0</v>
      </c>
      <c r="H3" s="28">
        <v>0</v>
      </c>
      <c r="I3" s="28">
        <v>0</v>
      </c>
    </row>
    <row r="4" spans="1:9" ht="15.75">
      <c r="A4" s="29" t="s">
        <v>13</v>
      </c>
      <c r="B4" s="28">
        <v>7.0000000000000001E-3</v>
      </c>
      <c r="C4" s="28">
        <v>0.90649999999999997</v>
      </c>
      <c r="D4" s="28">
        <v>7.7899999999999997E-2</v>
      </c>
      <c r="E4" s="28">
        <v>6.4000000000000003E-3</v>
      </c>
      <c r="F4" s="28">
        <v>5.9999999999999995E-4</v>
      </c>
      <c r="G4" s="28">
        <v>1.4E-3</v>
      </c>
      <c r="H4" s="28">
        <v>2.0000000000000001E-4</v>
      </c>
      <c r="I4" s="28">
        <v>0</v>
      </c>
    </row>
    <row r="5" spans="1:9" ht="15.75">
      <c r="A5" s="29" t="s">
        <v>14</v>
      </c>
      <c r="B5" s="28">
        <v>8.9999999999999998E-4</v>
      </c>
      <c r="C5" s="28">
        <v>2.2700000000000001E-2</v>
      </c>
      <c r="D5" s="28">
        <v>0.91049999999999998</v>
      </c>
      <c r="E5" s="28">
        <v>5.5199999999999999E-2</v>
      </c>
      <c r="F5" s="28">
        <v>7.4000000000000003E-3</v>
      </c>
      <c r="G5" s="28">
        <v>2.5999999999999999E-3</v>
      </c>
      <c r="H5" s="28">
        <v>1E-4</v>
      </c>
      <c r="I5" s="28">
        <v>5.9999999999999995E-4</v>
      </c>
    </row>
    <row r="6" spans="1:9" ht="15.75">
      <c r="A6" s="29" t="s">
        <v>10</v>
      </c>
      <c r="B6" s="28">
        <v>2.0000000000000001E-4</v>
      </c>
      <c r="C6" s="28">
        <v>3.3E-3</v>
      </c>
      <c r="D6" s="28">
        <v>5.9499999999999997E-2</v>
      </c>
      <c r="E6" s="28">
        <v>0.86929999999999996</v>
      </c>
      <c r="F6" s="28">
        <v>5.2999999999999999E-2</v>
      </c>
      <c r="G6" s="28">
        <v>1.17E-2</v>
      </c>
      <c r="H6" s="28">
        <v>1.1999999999999999E-3</v>
      </c>
      <c r="I6" s="28">
        <v>1.8E-3</v>
      </c>
    </row>
    <row r="7" spans="1:9" ht="15.75">
      <c r="A7" s="29" t="s">
        <v>9</v>
      </c>
      <c r="B7" s="28">
        <v>2.9999999999999997E-4</v>
      </c>
      <c r="C7" s="28">
        <v>1.4E-3</v>
      </c>
      <c r="D7" s="28">
        <v>6.7000000000000002E-3</v>
      </c>
      <c r="E7" s="28">
        <v>7.7299999999999994E-2</v>
      </c>
      <c r="F7" s="28">
        <v>0.80530000000000002</v>
      </c>
      <c r="G7" s="28">
        <v>8.8400000000000006E-2</v>
      </c>
      <c r="H7" s="28">
        <v>0.01</v>
      </c>
      <c r="I7" s="28">
        <v>1.06E-2</v>
      </c>
    </row>
    <row r="8" spans="1:9" ht="15.75">
      <c r="A8" s="29" t="s">
        <v>11</v>
      </c>
      <c r="B8" s="28">
        <v>1E-4</v>
      </c>
      <c r="C8" s="28">
        <v>1.1000000000000001E-3</v>
      </c>
      <c r="D8" s="28">
        <v>2.3999999999999998E-3</v>
      </c>
      <c r="E8" s="28">
        <v>4.3E-3</v>
      </c>
      <c r="F8" s="28">
        <v>6.4799999999999996E-2</v>
      </c>
      <c r="G8" s="28">
        <v>0.83460000000000001</v>
      </c>
      <c r="H8" s="28">
        <v>4.07E-2</v>
      </c>
      <c r="I8" s="28">
        <v>5.1999999999999998E-2</v>
      </c>
    </row>
    <row r="9" spans="1:9" ht="15.75">
      <c r="A9" s="29" t="s">
        <v>12</v>
      </c>
      <c r="B9" s="28">
        <v>2.2000000000000001E-3</v>
      </c>
      <c r="C9" s="28">
        <v>0</v>
      </c>
      <c r="D9" s="28">
        <v>2.2000000000000001E-3</v>
      </c>
      <c r="E9" s="28">
        <v>1.2999999999999999E-2</v>
      </c>
      <c r="F9" s="28">
        <v>2.3800000000000002E-2</v>
      </c>
      <c r="G9" s="28">
        <v>0.1124</v>
      </c>
      <c r="H9" s="28">
        <v>0.64859999999999995</v>
      </c>
      <c r="I9" s="28">
        <v>0.1978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73B3-8878-4323-9A40-9CF6F98D4A58}">
  <sheetPr codeName="Sheet4">
    <tabColor theme="5" tint="0.39997558519241921"/>
  </sheetPr>
  <dimension ref="A1:H9"/>
  <sheetViews>
    <sheetView zoomScale="115" zoomScaleNormal="115" workbookViewId="0">
      <selection activeCell="A2" sqref="A2:A9"/>
    </sheetView>
  </sheetViews>
  <sheetFormatPr defaultRowHeight="15"/>
  <cols>
    <col min="6" max="6" width="11.140625" bestFit="1" customWidth="1"/>
  </cols>
  <sheetData>
    <row r="1" spans="1:8" ht="30.75" customHeight="1">
      <c r="A1" s="30" t="s">
        <v>42</v>
      </c>
      <c r="B1" s="25"/>
      <c r="C1" s="25"/>
      <c r="D1" s="25"/>
      <c r="E1" s="25"/>
      <c r="F1" s="25"/>
      <c r="G1" s="25"/>
    </row>
    <row r="2" spans="1:8" ht="15.75">
      <c r="A2" s="29" t="s">
        <v>43</v>
      </c>
      <c r="B2" s="29">
        <v>1</v>
      </c>
      <c r="C2" s="29">
        <v>2</v>
      </c>
      <c r="D2" s="29">
        <v>3</v>
      </c>
      <c r="E2" s="29">
        <v>4</v>
      </c>
      <c r="F2" s="29">
        <v>5</v>
      </c>
      <c r="G2" s="29">
        <v>6</v>
      </c>
      <c r="H2" s="31"/>
    </row>
    <row r="3" spans="1:8" ht="15.75">
      <c r="A3" s="27" t="s">
        <v>8</v>
      </c>
      <c r="B3" s="28">
        <v>3.5999999999999997E-2</v>
      </c>
      <c r="C3" s="28">
        <v>4.1700000000000001E-2</v>
      </c>
      <c r="D3" s="28">
        <v>4.7300000000000002E-2</v>
      </c>
      <c r="E3" s="28">
        <v>5.1200000000000002E-2</v>
      </c>
      <c r="F3" s="28">
        <v>5.5100000000000003E-2</v>
      </c>
      <c r="G3" s="28">
        <v>5.8999999999999997E-2</v>
      </c>
    </row>
    <row r="4" spans="1:8" ht="15.75">
      <c r="A4" s="27" t="s">
        <v>13</v>
      </c>
      <c r="B4" s="28">
        <v>3.6499999999999998E-2</v>
      </c>
      <c r="C4" s="28">
        <v>4.2200000000000001E-2</v>
      </c>
      <c r="D4" s="28">
        <v>4.7800000000000002E-2</v>
      </c>
      <c r="E4" s="28">
        <v>5.1700000000000003E-2</v>
      </c>
      <c r="F4" s="28">
        <v>5.5599999999999997E-2</v>
      </c>
      <c r="G4" s="28">
        <v>5.9499999999999997E-2</v>
      </c>
    </row>
    <row r="5" spans="1:8" ht="15.75">
      <c r="A5" s="27" t="s">
        <v>14</v>
      </c>
      <c r="B5" s="28">
        <v>3.7199999999999997E-2</v>
      </c>
      <c r="C5" s="28">
        <v>4.3200000000000002E-2</v>
      </c>
      <c r="D5" s="28">
        <v>4.9299999999999997E-2</v>
      </c>
      <c r="E5" s="28">
        <v>5.3199999999999997E-2</v>
      </c>
      <c r="F5" s="28">
        <v>5.7099999999999998E-2</v>
      </c>
      <c r="G5" s="28">
        <v>6.0999999999999999E-2</v>
      </c>
    </row>
    <row r="6" spans="1:8" ht="15.75">
      <c r="A6" s="27" t="s">
        <v>10</v>
      </c>
      <c r="B6" s="28">
        <v>4.1000000000000002E-2</v>
      </c>
      <c r="C6" s="28">
        <v>4.6699999999999998E-2</v>
      </c>
      <c r="D6" s="28">
        <v>5.2499999999999998E-2</v>
      </c>
      <c r="E6" s="28">
        <v>5.6300000000000003E-2</v>
      </c>
      <c r="F6" s="28">
        <v>6.0100000000000001E-2</v>
      </c>
      <c r="G6" s="28">
        <v>6.3899999999999998E-2</v>
      </c>
    </row>
    <row r="7" spans="1:8" ht="15.75">
      <c r="A7" s="27" t="s">
        <v>9</v>
      </c>
      <c r="B7" s="28">
        <v>5.5500000000000001E-2</v>
      </c>
      <c r="C7" s="28">
        <v>6.0199999999999997E-2</v>
      </c>
      <c r="D7" s="28">
        <v>6.7799999999999999E-2</v>
      </c>
      <c r="E7" s="28">
        <v>7.2700000000000001E-2</v>
      </c>
      <c r="F7" s="28">
        <v>7.7600000000000002E-2</v>
      </c>
      <c r="G7" s="28">
        <v>8.2500000000000004E-2</v>
      </c>
    </row>
    <row r="8" spans="1:8" ht="15.75">
      <c r="A8" s="27" t="s">
        <v>11</v>
      </c>
      <c r="B8" s="28">
        <v>6.0499999999999998E-2</v>
      </c>
      <c r="C8" s="28">
        <v>7.0199999999999999E-2</v>
      </c>
      <c r="D8" s="28">
        <v>8.0299999999999996E-2</v>
      </c>
      <c r="E8" s="28">
        <v>8.5199999999999998E-2</v>
      </c>
      <c r="F8" s="28">
        <v>9.01E-2</v>
      </c>
      <c r="G8" s="28">
        <v>9.5000000000000001E-2</v>
      </c>
    </row>
    <row r="9" spans="1:8" ht="15.75">
      <c r="A9" s="27" t="s">
        <v>12</v>
      </c>
      <c r="B9" s="28">
        <v>0.15049999999999999</v>
      </c>
      <c r="C9" s="28">
        <v>0.1502</v>
      </c>
      <c r="D9" s="28">
        <v>0.14030000000000001</v>
      </c>
      <c r="E9" s="28">
        <v>0.13519999999999999</v>
      </c>
      <c r="F9" s="28">
        <v>0.13009999999999999</v>
      </c>
      <c r="G9" s="28">
        <v>0.125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9809-27EB-4B0F-8417-EF798BFDB637}">
  <sheetPr codeName="Sheet5">
    <tabColor theme="5" tint="0.39997558519241921"/>
  </sheetPr>
  <dimension ref="A1:C7"/>
  <sheetViews>
    <sheetView zoomScale="115" zoomScaleNormal="115" workbookViewId="0">
      <selection activeCell="J30" sqref="J30"/>
    </sheetView>
  </sheetViews>
  <sheetFormatPr defaultRowHeight="15"/>
  <cols>
    <col min="1" max="1" width="24.28515625" customWidth="1"/>
  </cols>
  <sheetData>
    <row r="1" spans="1:3" ht="30.75" customHeight="1">
      <c r="A1" s="19" t="s">
        <v>45</v>
      </c>
    </row>
    <row r="2" spans="1:3" ht="15.75">
      <c r="A2" s="33" t="s">
        <v>46</v>
      </c>
      <c r="B2" s="34" t="s">
        <v>47</v>
      </c>
      <c r="C2" s="34" t="s">
        <v>48</v>
      </c>
    </row>
    <row r="3" spans="1:3" ht="15.75">
      <c r="A3" s="33" t="s">
        <v>19</v>
      </c>
      <c r="B3" s="32">
        <v>0.53799999999999992</v>
      </c>
      <c r="C3" s="32">
        <v>0.26860000000000001</v>
      </c>
    </row>
    <row r="4" spans="1:3" ht="15.75">
      <c r="A4" s="33" t="s">
        <v>17</v>
      </c>
      <c r="B4" s="32">
        <v>0.51129999999999998</v>
      </c>
      <c r="C4" s="32">
        <v>0.2545</v>
      </c>
    </row>
    <row r="5" spans="1:3" ht="15.75">
      <c r="A5" s="33" t="s">
        <v>18</v>
      </c>
      <c r="B5" s="32">
        <v>0.38520000000000004</v>
      </c>
      <c r="C5" s="32">
        <v>0.23809999999999998</v>
      </c>
    </row>
    <row r="6" spans="1:3" ht="15.75">
      <c r="A6" s="33" t="s">
        <v>16</v>
      </c>
      <c r="B6" s="32">
        <v>0.32740000000000002</v>
      </c>
      <c r="C6" s="32">
        <v>0.20180000000000001</v>
      </c>
    </row>
    <row r="7" spans="1:3" ht="15.75">
      <c r="A7" s="33" t="s">
        <v>15</v>
      </c>
      <c r="B7" s="32">
        <v>0.1709</v>
      </c>
      <c r="C7" s="32">
        <v>0.109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Portfolio</vt:lpstr>
      <vt:lpstr>Correlation</vt:lpstr>
      <vt:lpstr>Transition Matrix</vt:lpstr>
      <vt:lpstr>Forward Zero Curve</vt:lpstr>
      <vt:lpstr>Seniority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chan</dc:creator>
  <cp:lastModifiedBy>james chan</cp:lastModifiedBy>
  <dcterms:created xsi:type="dcterms:W3CDTF">2023-06-23T12:21:50Z</dcterms:created>
  <dcterms:modified xsi:type="dcterms:W3CDTF">2023-06-24T07:48:30Z</dcterms:modified>
</cp:coreProperties>
</file>